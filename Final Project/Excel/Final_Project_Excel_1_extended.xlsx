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J:\Yessenkhan's documents\Data Analytics Courses\Академика курсы\Portfolio\Final Project\Excel\"/>
    </mc:Choice>
  </mc:AlternateContent>
  <xr:revisionPtr revIDLastSave="0" documentId="13_ncr:1_{53D5AAD9-16D4-4CBE-963B-CD44218CB2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Сводные таблицы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L2" i="1" l="1"/>
  <c r="M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3" i="1"/>
  <c r="L4" i="1"/>
  <c r="L5" i="1"/>
  <c r="L6" i="1"/>
  <c r="L7" i="1"/>
  <c r="L8" i="1"/>
  <c r="L9" i="1"/>
  <c r="L10" i="1"/>
  <c r="L11" i="1"/>
  <c r="L12" i="1"/>
  <c r="L1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5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E3" i="1" a="1"/>
  <c r="E3" i="1" s="1"/>
  <c r="F3" i="1" a="1"/>
  <c r="F3" i="1" s="1"/>
  <c r="G3" i="1" a="1"/>
  <c r="G3" i="1" s="1"/>
  <c r="E4" i="1" a="1"/>
  <c r="E4" i="1" s="1"/>
  <c r="F4" i="1" a="1"/>
  <c r="F4" i="1" s="1"/>
  <c r="G4" i="1" a="1"/>
  <c r="G4" i="1" s="1"/>
  <c r="E5" i="1" a="1"/>
  <c r="E5" i="1" s="1"/>
  <c r="F5" i="1" a="1"/>
  <c r="F5" i="1" s="1"/>
  <c r="G5" i="1" a="1"/>
  <c r="G5" i="1" s="1"/>
  <c r="E6" i="1" a="1"/>
  <c r="E6" i="1" s="1"/>
  <c r="F6" i="1" a="1"/>
  <c r="F6" i="1" s="1"/>
  <c r="G6" i="1" a="1"/>
  <c r="G6" i="1" s="1"/>
  <c r="E7" i="1" a="1"/>
  <c r="E7" i="1" s="1"/>
  <c r="F7" i="1" a="1"/>
  <c r="F7" i="1" s="1"/>
  <c r="G7" i="1" a="1"/>
  <c r="G7" i="1" s="1"/>
  <c r="E8" i="1" a="1"/>
  <c r="E8" i="1" s="1"/>
  <c r="F8" i="1" a="1"/>
  <c r="F8" i="1" s="1"/>
  <c r="G8" i="1" a="1"/>
  <c r="G8" i="1" s="1"/>
  <c r="E9" i="1" a="1"/>
  <c r="E9" i="1" s="1"/>
  <c r="F9" i="1" a="1"/>
  <c r="F9" i="1" s="1"/>
  <c r="G9" i="1" a="1"/>
  <c r="G9" i="1" s="1"/>
  <c r="E10" i="1" a="1"/>
  <c r="E10" i="1" s="1"/>
  <c r="F10" i="1" a="1"/>
  <c r="F10" i="1" s="1"/>
  <c r="G10" i="1" a="1"/>
  <c r="G10" i="1" s="1"/>
  <c r="E11" i="1" a="1"/>
  <c r="E11" i="1" s="1"/>
  <c r="F11" i="1" a="1"/>
  <c r="F11" i="1" s="1"/>
  <c r="G11" i="1" a="1"/>
  <c r="G11" i="1" s="1"/>
  <c r="E12" i="1" a="1"/>
  <c r="E12" i="1" s="1"/>
  <c r="F12" i="1" a="1"/>
  <c r="F12" i="1" s="1"/>
  <c r="G12" i="1" a="1"/>
  <c r="G12" i="1" s="1"/>
  <c r="E13" i="1" a="1"/>
  <c r="E13" i="1" s="1"/>
  <c r="F13" i="1" a="1"/>
  <c r="F13" i="1" s="1"/>
  <c r="G13" i="1" a="1"/>
  <c r="G13" i="1" s="1"/>
  <c r="E14" i="1" a="1"/>
  <c r="E14" i="1" s="1"/>
  <c r="F14" i="1" a="1"/>
  <c r="F14" i="1" s="1"/>
  <c r="G14" i="1" a="1"/>
  <c r="G14" i="1" s="1"/>
  <c r="E15" i="1" a="1"/>
  <c r="E15" i="1" s="1"/>
  <c r="F15" i="1" a="1"/>
  <c r="F15" i="1" s="1"/>
  <c r="G15" i="1" a="1"/>
  <c r="G15" i="1" s="1"/>
  <c r="E16" i="1" a="1"/>
  <c r="E16" i="1" s="1"/>
  <c r="F16" i="1" a="1"/>
  <c r="F16" i="1" s="1"/>
  <c r="G16" i="1" a="1"/>
  <c r="G16" i="1" s="1"/>
  <c r="E17" i="1" a="1"/>
  <c r="E17" i="1" s="1"/>
  <c r="F17" i="1" a="1"/>
  <c r="F17" i="1" s="1"/>
  <c r="G17" i="1" a="1"/>
  <c r="G17" i="1" s="1"/>
  <c r="E18" i="1" a="1"/>
  <c r="E18" i="1" s="1"/>
  <c r="F18" i="1" a="1"/>
  <c r="F18" i="1" s="1"/>
  <c r="G18" i="1" a="1"/>
  <c r="G18" i="1" s="1"/>
  <c r="E19" i="1" a="1"/>
  <c r="E19" i="1" s="1"/>
  <c r="F19" i="1" a="1"/>
  <c r="F19" i="1" s="1"/>
  <c r="G19" i="1" a="1"/>
  <c r="G19" i="1" s="1"/>
  <c r="E20" i="1" a="1"/>
  <c r="E20" i="1" s="1"/>
  <c r="F20" i="1" a="1"/>
  <c r="F20" i="1" s="1"/>
  <c r="G20" i="1" a="1"/>
  <c r="G20" i="1" s="1"/>
  <c r="E21" i="1" a="1"/>
  <c r="E21" i="1" s="1"/>
  <c r="F21" i="1" a="1"/>
  <c r="F21" i="1" s="1"/>
  <c r="G21" i="1" a="1"/>
  <c r="G21" i="1" s="1"/>
  <c r="E22" i="1" a="1"/>
  <c r="E22" i="1" s="1"/>
  <c r="F22" i="1" a="1"/>
  <c r="F22" i="1" s="1"/>
  <c r="G22" i="1" a="1"/>
  <c r="G22" i="1" s="1"/>
  <c r="E23" i="1" a="1"/>
  <c r="E23" i="1" s="1"/>
  <c r="F23" i="1" a="1"/>
  <c r="F23" i="1" s="1"/>
  <c r="G23" i="1" a="1"/>
  <c r="G23" i="1" s="1"/>
  <c r="E24" i="1" a="1"/>
  <c r="E24" i="1" s="1"/>
  <c r="F24" i="1" a="1"/>
  <c r="F24" i="1" s="1"/>
  <c r="G24" i="1" a="1"/>
  <c r="G24" i="1" s="1"/>
  <c r="E25" i="1" a="1"/>
  <c r="E25" i="1" s="1"/>
  <c r="F25" i="1" a="1"/>
  <c r="F25" i="1" s="1"/>
  <c r="G25" i="1" a="1"/>
  <c r="G25" i="1" s="1"/>
  <c r="E26" i="1" a="1"/>
  <c r="E26" i="1" s="1"/>
  <c r="F26" i="1" a="1"/>
  <c r="F26" i="1" s="1"/>
  <c r="G26" i="1" a="1"/>
  <c r="G26" i="1" s="1"/>
  <c r="E27" i="1" a="1"/>
  <c r="E27" i="1" s="1"/>
  <c r="F27" i="1" a="1"/>
  <c r="F27" i="1" s="1"/>
  <c r="G27" i="1" a="1"/>
  <c r="G27" i="1" s="1"/>
  <c r="E28" i="1" a="1"/>
  <c r="E28" i="1" s="1"/>
  <c r="F28" i="1" a="1"/>
  <c r="F28" i="1" s="1"/>
  <c r="G28" i="1" a="1"/>
  <c r="G28" i="1" s="1"/>
  <c r="E29" i="1" a="1"/>
  <c r="E29" i="1" s="1"/>
  <c r="F29" i="1" a="1"/>
  <c r="F29" i="1" s="1"/>
  <c r="G29" i="1" a="1"/>
  <c r="G29" i="1" s="1"/>
  <c r="E30" i="1" a="1"/>
  <c r="E30" i="1" s="1"/>
  <c r="F30" i="1" a="1"/>
  <c r="F30" i="1" s="1"/>
  <c r="G30" i="1" a="1"/>
  <c r="G30" i="1" s="1"/>
  <c r="E31" i="1" a="1"/>
  <c r="E31" i="1" s="1"/>
  <c r="F31" i="1" a="1"/>
  <c r="F31" i="1" s="1"/>
  <c r="G31" i="1" a="1"/>
  <c r="G31" i="1" s="1"/>
  <c r="E32" i="1" a="1"/>
  <c r="E32" i="1" s="1"/>
  <c r="F32" i="1" a="1"/>
  <c r="F32" i="1" s="1"/>
  <c r="G32" i="1" a="1"/>
  <c r="G32" i="1" s="1"/>
  <c r="E33" i="1" a="1"/>
  <c r="E33" i="1" s="1"/>
  <c r="F33" i="1" a="1"/>
  <c r="F33" i="1" s="1"/>
  <c r="G33" i="1" a="1"/>
  <c r="G33" i="1" s="1"/>
  <c r="E34" i="1" a="1"/>
  <c r="E34" i="1" s="1"/>
  <c r="F34" i="1" a="1"/>
  <c r="F34" i="1" s="1"/>
  <c r="G34" i="1" a="1"/>
  <c r="G34" i="1" s="1"/>
  <c r="E35" i="1" a="1"/>
  <c r="E35" i="1" s="1"/>
  <c r="F35" i="1" a="1"/>
  <c r="F35" i="1" s="1"/>
  <c r="G35" i="1" a="1"/>
  <c r="G35" i="1" s="1"/>
  <c r="E36" i="1" a="1"/>
  <c r="E36" i="1" s="1"/>
  <c r="F36" i="1" a="1"/>
  <c r="F36" i="1" s="1"/>
  <c r="G36" i="1" a="1"/>
  <c r="G36" i="1" s="1"/>
  <c r="E37" i="1" a="1"/>
  <c r="E37" i="1" s="1"/>
  <c r="F37" i="1" a="1"/>
  <c r="F37" i="1" s="1"/>
  <c r="G37" i="1" a="1"/>
  <c r="G37" i="1" s="1"/>
  <c r="E38" i="1" a="1"/>
  <c r="E38" i="1" s="1"/>
  <c r="F38" i="1" a="1"/>
  <c r="F38" i="1" s="1"/>
  <c r="G38" i="1" a="1"/>
  <c r="G38" i="1" s="1"/>
  <c r="E39" i="1" a="1"/>
  <c r="E39" i="1" s="1"/>
  <c r="F39" i="1" a="1"/>
  <c r="F39" i="1" s="1"/>
  <c r="G39" i="1" a="1"/>
  <c r="G39" i="1" s="1"/>
  <c r="E40" i="1" a="1"/>
  <c r="E40" i="1" s="1"/>
  <c r="F40" i="1" a="1"/>
  <c r="F40" i="1" s="1"/>
  <c r="G40" i="1" a="1"/>
  <c r="G40" i="1" s="1"/>
  <c r="E41" i="1" a="1"/>
  <c r="E41" i="1" s="1"/>
  <c r="F41" i="1" a="1"/>
  <c r="F41" i="1" s="1"/>
  <c r="G41" i="1" a="1"/>
  <c r="G41" i="1" s="1"/>
  <c r="E42" i="1" a="1"/>
  <c r="E42" i="1" s="1"/>
  <c r="F42" i="1" a="1"/>
  <c r="F42" i="1" s="1"/>
  <c r="G42" i="1" a="1"/>
  <c r="G42" i="1" s="1"/>
  <c r="E43" i="1" a="1"/>
  <c r="E43" i="1" s="1"/>
  <c r="F43" i="1" a="1"/>
  <c r="F43" i="1" s="1"/>
  <c r="G43" i="1" a="1"/>
  <c r="G43" i="1" s="1"/>
  <c r="E44" i="1" a="1"/>
  <c r="E44" i="1" s="1"/>
  <c r="F44" i="1" a="1"/>
  <c r="F44" i="1" s="1"/>
  <c r="G44" i="1" a="1"/>
  <c r="G44" i="1" s="1"/>
  <c r="E45" i="1" a="1"/>
  <c r="E45" i="1" s="1"/>
  <c r="F45" i="1" a="1"/>
  <c r="F45" i="1" s="1"/>
  <c r="G45" i="1" a="1"/>
  <c r="G45" i="1" s="1"/>
  <c r="E46" i="1" a="1"/>
  <c r="E46" i="1" s="1"/>
  <c r="F46" i="1" a="1"/>
  <c r="F46" i="1" s="1"/>
  <c r="G46" i="1" a="1"/>
  <c r="G46" i="1" s="1"/>
  <c r="E47" i="1" a="1"/>
  <c r="E47" i="1" s="1"/>
  <c r="F47" i="1" a="1"/>
  <c r="F47" i="1" s="1"/>
  <c r="G47" i="1" a="1"/>
  <c r="G47" i="1" s="1"/>
  <c r="E48" i="1" a="1"/>
  <c r="E48" i="1" s="1"/>
  <c r="F48" i="1" a="1"/>
  <c r="F48" i="1" s="1"/>
  <c r="G48" i="1" a="1"/>
  <c r="G48" i="1" s="1"/>
  <c r="E49" i="1" a="1"/>
  <c r="E49" i="1" s="1"/>
  <c r="F49" i="1" a="1"/>
  <c r="F49" i="1" s="1"/>
  <c r="G49" i="1" a="1"/>
  <c r="G49" i="1" s="1"/>
  <c r="E50" i="1" a="1"/>
  <c r="E50" i="1" s="1"/>
  <c r="F50" i="1" a="1"/>
  <c r="F50" i="1" s="1"/>
  <c r="G50" i="1" a="1"/>
  <c r="G50" i="1" s="1"/>
  <c r="E51" i="1" a="1"/>
  <c r="E51" i="1" s="1"/>
  <c r="F51" i="1" a="1"/>
  <c r="F51" i="1" s="1"/>
  <c r="G51" i="1" a="1"/>
  <c r="G51" i="1" s="1"/>
  <c r="E52" i="1" a="1"/>
  <c r="E52" i="1" s="1"/>
  <c r="F52" i="1" a="1"/>
  <c r="F52" i="1" s="1"/>
  <c r="G52" i="1" a="1"/>
  <c r="G52" i="1" s="1"/>
  <c r="E53" i="1" a="1"/>
  <c r="E53" i="1" s="1"/>
  <c r="F53" i="1" a="1"/>
  <c r="F53" i="1" s="1"/>
  <c r="G53" i="1" a="1"/>
  <c r="G53" i="1" s="1"/>
  <c r="E54" i="1" a="1"/>
  <c r="E54" i="1" s="1"/>
  <c r="F54" i="1" a="1"/>
  <c r="F54" i="1" s="1"/>
  <c r="G54" i="1" a="1"/>
  <c r="G54" i="1" s="1"/>
  <c r="E55" i="1" a="1"/>
  <c r="E55" i="1" s="1"/>
  <c r="F55" i="1" a="1"/>
  <c r="F55" i="1" s="1"/>
  <c r="G55" i="1" a="1"/>
  <c r="G55" i="1" s="1"/>
  <c r="E56" i="1" a="1"/>
  <c r="E56" i="1" s="1"/>
  <c r="F56" i="1" a="1"/>
  <c r="F56" i="1" s="1"/>
  <c r="G56" i="1" a="1"/>
  <c r="G56" i="1" s="1"/>
  <c r="E57" i="1" a="1"/>
  <c r="E57" i="1" s="1"/>
  <c r="F57" i="1" a="1"/>
  <c r="F57" i="1" s="1"/>
  <c r="G57" i="1" a="1"/>
  <c r="G57" i="1" s="1"/>
  <c r="E58" i="1" a="1"/>
  <c r="E58" i="1" s="1"/>
  <c r="F58" i="1" a="1"/>
  <c r="F58" i="1" s="1"/>
  <c r="G58" i="1" a="1"/>
  <c r="G58" i="1" s="1"/>
  <c r="E59" i="1" a="1"/>
  <c r="E59" i="1" s="1"/>
  <c r="F59" i="1" a="1"/>
  <c r="F59" i="1" s="1"/>
  <c r="G59" i="1" a="1"/>
  <c r="G59" i="1" s="1"/>
  <c r="E60" i="1" a="1"/>
  <c r="E60" i="1" s="1"/>
  <c r="F60" i="1" a="1"/>
  <c r="F60" i="1" s="1"/>
  <c r="G60" i="1" a="1"/>
  <c r="G60" i="1" s="1"/>
  <c r="E61" i="1" a="1"/>
  <c r="E61" i="1" s="1"/>
  <c r="F61" i="1" a="1"/>
  <c r="F61" i="1" s="1"/>
  <c r="G61" i="1" a="1"/>
  <c r="G61" i="1" s="1"/>
  <c r="E62" i="1" a="1"/>
  <c r="E62" i="1" s="1"/>
  <c r="F62" i="1" a="1"/>
  <c r="F62" i="1" s="1"/>
  <c r="G62" i="1" a="1"/>
  <c r="G62" i="1" s="1"/>
  <c r="E63" i="1" a="1"/>
  <c r="E63" i="1" s="1"/>
  <c r="F63" i="1" a="1"/>
  <c r="F63" i="1" s="1"/>
  <c r="G63" i="1" a="1"/>
  <c r="G63" i="1" s="1"/>
  <c r="E64" i="1" a="1"/>
  <c r="E64" i="1" s="1"/>
  <c r="F64" i="1" a="1"/>
  <c r="F64" i="1" s="1"/>
  <c r="G64" i="1" a="1"/>
  <c r="G64" i="1" s="1"/>
  <c r="E65" i="1" a="1"/>
  <c r="E65" i="1" s="1"/>
  <c r="F65" i="1" a="1"/>
  <c r="F65" i="1" s="1"/>
  <c r="G65" i="1" a="1"/>
  <c r="G65" i="1" s="1"/>
  <c r="E66" i="1" a="1"/>
  <c r="E66" i="1" s="1"/>
  <c r="F66" i="1" a="1"/>
  <c r="F66" i="1" s="1"/>
  <c r="G66" i="1" a="1"/>
  <c r="G66" i="1" s="1"/>
  <c r="E67" i="1" a="1"/>
  <c r="E67" i="1" s="1"/>
  <c r="F67" i="1" a="1"/>
  <c r="F67" i="1" s="1"/>
  <c r="G67" i="1" a="1"/>
  <c r="G67" i="1" s="1"/>
  <c r="E68" i="1" a="1"/>
  <c r="E68" i="1" s="1"/>
  <c r="F68" i="1" a="1"/>
  <c r="F68" i="1" s="1"/>
  <c r="G68" i="1" a="1"/>
  <c r="G68" i="1" s="1"/>
  <c r="E69" i="1" a="1"/>
  <c r="E69" i="1" s="1"/>
  <c r="F69" i="1" a="1"/>
  <c r="F69" i="1" s="1"/>
  <c r="G69" i="1" a="1"/>
  <c r="G69" i="1" s="1"/>
  <c r="E70" i="1" a="1"/>
  <c r="E70" i="1" s="1"/>
  <c r="F70" i="1" a="1"/>
  <c r="F70" i="1" s="1"/>
  <c r="G70" i="1" a="1"/>
  <c r="G70" i="1" s="1"/>
  <c r="E71" i="1" a="1"/>
  <c r="E71" i="1" s="1"/>
  <c r="F71" i="1" a="1"/>
  <c r="F71" i="1" s="1"/>
  <c r="G71" i="1" a="1"/>
  <c r="G71" i="1" s="1"/>
  <c r="E72" i="1" a="1"/>
  <c r="E72" i="1" s="1"/>
  <c r="F72" i="1" a="1"/>
  <c r="F72" i="1" s="1"/>
  <c r="G72" i="1" a="1"/>
  <c r="G72" i="1" s="1"/>
  <c r="E73" i="1" a="1"/>
  <c r="E73" i="1" s="1"/>
  <c r="F73" i="1" a="1"/>
  <c r="F73" i="1" s="1"/>
  <c r="G73" i="1" a="1"/>
  <c r="G73" i="1" s="1"/>
  <c r="E74" i="1" a="1"/>
  <c r="E74" i="1" s="1"/>
  <c r="F74" i="1" a="1"/>
  <c r="F74" i="1" s="1"/>
  <c r="G74" i="1" a="1"/>
  <c r="G74" i="1" s="1"/>
  <c r="E75" i="1" a="1"/>
  <c r="E75" i="1" s="1"/>
  <c r="F75" i="1" a="1"/>
  <c r="F75" i="1" s="1"/>
  <c r="G75" i="1" a="1"/>
  <c r="G75" i="1" s="1"/>
  <c r="E76" i="1" a="1"/>
  <c r="E76" i="1" s="1"/>
  <c r="F76" i="1" a="1"/>
  <c r="F76" i="1" s="1"/>
  <c r="G76" i="1" a="1"/>
  <c r="G76" i="1" s="1"/>
  <c r="E77" i="1" a="1"/>
  <c r="E77" i="1" s="1"/>
  <c r="F77" i="1" a="1"/>
  <c r="F77" i="1" s="1"/>
  <c r="G77" i="1" a="1"/>
  <c r="G77" i="1" s="1"/>
  <c r="E78" i="1" a="1"/>
  <c r="E78" i="1" s="1"/>
  <c r="F78" i="1" a="1"/>
  <c r="F78" i="1" s="1"/>
  <c r="G78" i="1" a="1"/>
  <c r="G78" i="1" s="1"/>
  <c r="E79" i="1" a="1"/>
  <c r="E79" i="1" s="1"/>
  <c r="F79" i="1" a="1"/>
  <c r="F79" i="1" s="1"/>
  <c r="G79" i="1" a="1"/>
  <c r="G79" i="1" s="1"/>
  <c r="E80" i="1" a="1"/>
  <c r="E80" i="1" s="1"/>
  <c r="F80" i="1" a="1"/>
  <c r="F80" i="1" s="1"/>
  <c r="G80" i="1" a="1"/>
  <c r="G80" i="1" s="1"/>
  <c r="E81" i="1" a="1"/>
  <c r="E81" i="1" s="1"/>
  <c r="F81" i="1" a="1"/>
  <c r="F81" i="1" s="1"/>
  <c r="G81" i="1" a="1"/>
  <c r="G81" i="1" s="1"/>
  <c r="E82" i="1" a="1"/>
  <c r="E82" i="1" s="1"/>
  <c r="F82" i="1" a="1"/>
  <c r="F82" i="1" s="1"/>
  <c r="G82" i="1" a="1"/>
  <c r="G82" i="1" s="1"/>
  <c r="E83" i="1" a="1"/>
  <c r="E83" i="1" s="1"/>
  <c r="F83" i="1" a="1"/>
  <c r="F83" i="1" s="1"/>
  <c r="G83" i="1" a="1"/>
  <c r="G83" i="1" s="1"/>
  <c r="E84" i="1" a="1"/>
  <c r="E84" i="1" s="1"/>
  <c r="F84" i="1" a="1"/>
  <c r="F84" i="1" s="1"/>
  <c r="G84" i="1" a="1"/>
  <c r="G84" i="1" s="1"/>
  <c r="E85" i="1" a="1"/>
  <c r="E85" i="1" s="1"/>
  <c r="F85" i="1" a="1"/>
  <c r="F85" i="1" s="1"/>
  <c r="G85" i="1" a="1"/>
  <c r="G85" i="1" s="1"/>
  <c r="E86" i="1" a="1"/>
  <c r="E86" i="1" s="1"/>
  <c r="F86" i="1" a="1"/>
  <c r="F86" i="1" s="1"/>
  <c r="G86" i="1" a="1"/>
  <c r="G86" i="1" s="1"/>
  <c r="E87" i="1" a="1"/>
  <c r="E87" i="1" s="1"/>
  <c r="F87" i="1" a="1"/>
  <c r="F87" i="1" s="1"/>
  <c r="G87" i="1" a="1"/>
  <c r="G87" i="1" s="1"/>
  <c r="E88" i="1" a="1"/>
  <c r="E88" i="1" s="1"/>
  <c r="F88" i="1" a="1"/>
  <c r="F88" i="1" s="1"/>
  <c r="G88" i="1" a="1"/>
  <c r="G88" i="1" s="1"/>
  <c r="E89" i="1" a="1"/>
  <c r="E89" i="1" s="1"/>
  <c r="F89" i="1" a="1"/>
  <c r="F89" i="1" s="1"/>
  <c r="G89" i="1" a="1"/>
  <c r="G89" i="1" s="1"/>
  <c r="E90" i="1" a="1"/>
  <c r="E90" i="1" s="1"/>
  <c r="F90" i="1" a="1"/>
  <c r="F90" i="1" s="1"/>
  <c r="G90" i="1" a="1"/>
  <c r="G90" i="1" s="1"/>
  <c r="E91" i="1" a="1"/>
  <c r="E91" i="1" s="1"/>
  <c r="F91" i="1" a="1"/>
  <c r="F91" i="1" s="1"/>
  <c r="G91" i="1" a="1"/>
  <c r="G91" i="1" s="1"/>
  <c r="E92" i="1" a="1"/>
  <c r="E92" i="1" s="1"/>
  <c r="F92" i="1" a="1"/>
  <c r="F92" i="1" s="1"/>
  <c r="G92" i="1" a="1"/>
  <c r="G92" i="1" s="1"/>
  <c r="E93" i="1" a="1"/>
  <c r="E93" i="1" s="1"/>
  <c r="F93" i="1" a="1"/>
  <c r="F93" i="1" s="1"/>
  <c r="G93" i="1" a="1"/>
  <c r="G93" i="1" s="1"/>
  <c r="E94" i="1" a="1"/>
  <c r="E94" i="1" s="1"/>
  <c r="F94" i="1" a="1"/>
  <c r="F94" i="1" s="1"/>
  <c r="G94" i="1" a="1"/>
  <c r="G94" i="1" s="1"/>
  <c r="E95" i="1" a="1"/>
  <c r="E95" i="1" s="1"/>
  <c r="F95" i="1" a="1"/>
  <c r="F95" i="1" s="1"/>
  <c r="G95" i="1" a="1"/>
  <c r="G95" i="1" s="1"/>
  <c r="E96" i="1" a="1"/>
  <c r="E96" i="1" s="1"/>
  <c r="F96" i="1" a="1"/>
  <c r="F96" i="1" s="1"/>
  <c r="G96" i="1" a="1"/>
  <c r="G96" i="1" s="1"/>
  <c r="E97" i="1" a="1"/>
  <c r="E97" i="1" s="1"/>
  <c r="F97" i="1" a="1"/>
  <c r="F97" i="1" s="1"/>
  <c r="G97" i="1" a="1"/>
  <c r="G97" i="1" s="1"/>
  <c r="E98" i="1" a="1"/>
  <c r="E98" i="1" s="1"/>
  <c r="F98" i="1" a="1"/>
  <c r="F98" i="1" s="1"/>
  <c r="G98" i="1" a="1"/>
  <c r="G98" i="1" s="1"/>
  <c r="E99" i="1" a="1"/>
  <c r="E99" i="1" s="1"/>
  <c r="F99" i="1" a="1"/>
  <c r="F99" i="1" s="1"/>
  <c r="G99" i="1" a="1"/>
  <c r="G99" i="1" s="1"/>
  <c r="E100" i="1" a="1"/>
  <c r="E100" i="1" s="1"/>
  <c r="F100" i="1" a="1"/>
  <c r="F100" i="1" s="1"/>
  <c r="G100" i="1" a="1"/>
  <c r="G100" i="1" s="1"/>
  <c r="E101" i="1" a="1"/>
  <c r="E101" i="1" s="1"/>
  <c r="F101" i="1" a="1"/>
  <c r="F101" i="1" s="1"/>
  <c r="G101" i="1" a="1"/>
  <c r="G101" i="1" s="1"/>
  <c r="E102" i="1" a="1"/>
  <c r="E102" i="1" s="1"/>
  <c r="F102" i="1" a="1"/>
  <c r="F102" i="1" s="1"/>
  <c r="G102" i="1" a="1"/>
  <c r="G102" i="1" s="1"/>
  <c r="E103" i="1" a="1"/>
  <c r="E103" i="1" s="1"/>
  <c r="F103" i="1" a="1"/>
  <c r="F103" i="1" s="1"/>
  <c r="G103" i="1" a="1"/>
  <c r="G103" i="1" s="1"/>
  <c r="E104" i="1" a="1"/>
  <c r="E104" i="1" s="1"/>
  <c r="F104" i="1" a="1"/>
  <c r="F104" i="1" s="1"/>
  <c r="G104" i="1" a="1"/>
  <c r="G104" i="1" s="1"/>
  <c r="E105" i="1" a="1"/>
  <c r="E105" i="1" s="1"/>
  <c r="F105" i="1" a="1"/>
  <c r="F105" i="1" s="1"/>
  <c r="G105" i="1" a="1"/>
  <c r="G105" i="1" s="1"/>
  <c r="E106" i="1" a="1"/>
  <c r="E106" i="1" s="1"/>
  <c r="F106" i="1" a="1"/>
  <c r="F106" i="1" s="1"/>
  <c r="G106" i="1" a="1"/>
  <c r="G106" i="1" s="1"/>
  <c r="E107" i="1" a="1"/>
  <c r="E107" i="1" s="1"/>
  <c r="F107" i="1" a="1"/>
  <c r="F107" i="1" s="1"/>
  <c r="G107" i="1" a="1"/>
  <c r="G107" i="1" s="1"/>
  <c r="E108" i="1" a="1"/>
  <c r="E108" i="1" s="1"/>
  <c r="F108" i="1" a="1"/>
  <c r="F108" i="1" s="1"/>
  <c r="G108" i="1" a="1"/>
  <c r="G108" i="1" s="1"/>
  <c r="E109" i="1" a="1"/>
  <c r="E109" i="1" s="1"/>
  <c r="F109" i="1" a="1"/>
  <c r="F109" i="1" s="1"/>
  <c r="G109" i="1" a="1"/>
  <c r="G109" i="1" s="1"/>
  <c r="E110" i="1" a="1"/>
  <c r="E110" i="1" s="1"/>
  <c r="F110" i="1" a="1"/>
  <c r="F110" i="1" s="1"/>
  <c r="G110" i="1" a="1"/>
  <c r="G110" i="1" s="1"/>
  <c r="E111" i="1" a="1"/>
  <c r="E111" i="1" s="1"/>
  <c r="F111" i="1" a="1"/>
  <c r="F111" i="1" s="1"/>
  <c r="G111" i="1" a="1"/>
  <c r="G111" i="1" s="1"/>
  <c r="E112" i="1" a="1"/>
  <c r="E112" i="1" s="1"/>
  <c r="F112" i="1" a="1"/>
  <c r="F112" i="1" s="1"/>
  <c r="G112" i="1" a="1"/>
  <c r="G112" i="1" s="1"/>
  <c r="E113" i="1" a="1"/>
  <c r="E113" i="1" s="1"/>
  <c r="F113" i="1" a="1"/>
  <c r="F113" i="1" s="1"/>
  <c r="G113" i="1" a="1"/>
  <c r="G113" i="1" s="1"/>
  <c r="E114" i="1" a="1"/>
  <c r="E114" i="1" s="1"/>
  <c r="F114" i="1" a="1"/>
  <c r="F114" i="1" s="1"/>
  <c r="G114" i="1" a="1"/>
  <c r="G114" i="1" s="1"/>
  <c r="E115" i="1" a="1"/>
  <c r="E115" i="1" s="1"/>
  <c r="F115" i="1" a="1"/>
  <c r="F115" i="1" s="1"/>
  <c r="G115" i="1" a="1"/>
  <c r="G115" i="1" s="1"/>
  <c r="E116" i="1" a="1"/>
  <c r="E116" i="1" s="1"/>
  <c r="F116" i="1" a="1"/>
  <c r="F116" i="1" s="1"/>
  <c r="G116" i="1" a="1"/>
  <c r="G116" i="1" s="1"/>
  <c r="E117" i="1" a="1"/>
  <c r="E117" i="1"/>
  <c r="F117" i="1" a="1"/>
  <c r="F117" i="1" s="1"/>
  <c r="G117" i="1" a="1"/>
  <c r="G117" i="1" s="1"/>
  <c r="E118" i="1" a="1"/>
  <c r="E118" i="1" s="1"/>
  <c r="F118" i="1" a="1"/>
  <c r="F118" i="1"/>
  <c r="G118" i="1" a="1"/>
  <c r="G118" i="1"/>
  <c r="E119" i="1" a="1"/>
  <c r="E119" i="1"/>
  <c r="F119" i="1" a="1"/>
  <c r="F119" i="1" s="1"/>
  <c r="G119" i="1" a="1"/>
  <c r="G119" i="1" s="1"/>
  <c r="E120" i="1" a="1"/>
  <c r="E120" i="1" s="1"/>
  <c r="F120" i="1" a="1"/>
  <c r="F120" i="1" s="1"/>
  <c r="G120" i="1" a="1"/>
  <c r="G120" i="1" s="1"/>
  <c r="E121" i="1" a="1"/>
  <c r="E121" i="1" s="1"/>
  <c r="F121" i="1" a="1"/>
  <c r="F121" i="1"/>
  <c r="G121" i="1" a="1"/>
  <c r="G121" i="1"/>
  <c r="E122" i="1" a="1"/>
  <c r="E122" i="1" s="1"/>
  <c r="F122" i="1" a="1"/>
  <c r="F122" i="1" s="1"/>
  <c r="G122" i="1" a="1"/>
  <c r="G122" i="1" s="1"/>
  <c r="E123" i="1" a="1"/>
  <c r="E123" i="1" s="1"/>
  <c r="F123" i="1" a="1"/>
  <c r="F123" i="1" s="1"/>
  <c r="G123" i="1" a="1"/>
  <c r="G123" i="1"/>
  <c r="E124" i="1" a="1"/>
  <c r="E124" i="1" s="1"/>
  <c r="F124" i="1" a="1"/>
  <c r="F124" i="1"/>
  <c r="G124" i="1" a="1"/>
  <c r="G124" i="1" s="1"/>
  <c r="E125" i="1" a="1"/>
  <c r="E125" i="1" s="1"/>
  <c r="F125" i="1" a="1"/>
  <c r="F125" i="1" s="1"/>
  <c r="G125" i="1" a="1"/>
  <c r="G125" i="1" s="1"/>
  <c r="E126" i="1" a="1"/>
  <c r="E126" i="1" s="1"/>
  <c r="F126" i="1" a="1"/>
  <c r="F126" i="1"/>
  <c r="G126" i="1" a="1"/>
  <c r="G126" i="1"/>
  <c r="E127" i="1" a="1"/>
  <c r="E127" i="1" s="1"/>
  <c r="F127" i="1" a="1"/>
  <c r="F127" i="1" s="1"/>
  <c r="G127" i="1" a="1"/>
  <c r="G127" i="1" s="1"/>
  <c r="E128" i="1" a="1"/>
  <c r="E128" i="1" s="1"/>
  <c r="F128" i="1" a="1"/>
  <c r="F128" i="1" s="1"/>
  <c r="G128" i="1" a="1"/>
  <c r="G128" i="1" s="1"/>
  <c r="E129" i="1" a="1"/>
  <c r="E129" i="1"/>
  <c r="F129" i="1" a="1"/>
  <c r="F129" i="1"/>
  <c r="G129" i="1" a="1"/>
  <c r="G129" i="1"/>
  <c r="E130" i="1" a="1"/>
  <c r="E130" i="1" s="1"/>
  <c r="F130" i="1" a="1"/>
  <c r="F130" i="1" s="1"/>
  <c r="G130" i="1" a="1"/>
  <c r="G130" i="1" s="1"/>
  <c r="E131" i="1" a="1"/>
  <c r="E131" i="1" s="1"/>
  <c r="F131" i="1" a="1"/>
  <c r="F131" i="1" s="1"/>
  <c r="G131" i="1" a="1"/>
  <c r="G131" i="1" s="1"/>
  <c r="E132" i="1" a="1"/>
  <c r="E132" i="1"/>
  <c r="F132" i="1" a="1"/>
  <c r="F132" i="1"/>
  <c r="G132" i="1" a="1"/>
  <c r="G132" i="1" s="1"/>
  <c r="E133" i="1" a="1"/>
  <c r="E133" i="1" s="1"/>
  <c r="F133" i="1" a="1"/>
  <c r="F133" i="1" s="1"/>
  <c r="G133" i="1" a="1"/>
  <c r="G133" i="1" s="1"/>
  <c r="E134" i="1" a="1"/>
  <c r="E134" i="1" s="1"/>
  <c r="F134" i="1" a="1"/>
  <c r="F134" i="1"/>
  <c r="G134" i="1" a="1"/>
  <c r="G134" i="1" s="1"/>
  <c r="E135" i="1" a="1"/>
  <c r="E135" i="1"/>
  <c r="F135" i="1" a="1"/>
  <c r="F135" i="1" s="1"/>
  <c r="G135" i="1" a="1"/>
  <c r="G135" i="1" s="1"/>
  <c r="E136" i="1" a="1"/>
  <c r="E136" i="1" s="1"/>
  <c r="F136" i="1" a="1"/>
  <c r="F136" i="1" s="1"/>
  <c r="G136" i="1" a="1"/>
  <c r="G136" i="1" s="1"/>
  <c r="E137" i="1" a="1"/>
  <c r="E137" i="1"/>
  <c r="F137" i="1" a="1"/>
  <c r="F137" i="1"/>
  <c r="G137" i="1" a="1"/>
  <c r="G137" i="1" s="1"/>
  <c r="E138" i="1" a="1"/>
  <c r="E138" i="1" s="1"/>
  <c r="F138" i="1" a="1"/>
  <c r="F138" i="1" s="1"/>
  <c r="G138" i="1" a="1"/>
  <c r="G138" i="1" s="1"/>
  <c r="E139" i="1" a="1"/>
  <c r="E139" i="1" s="1"/>
  <c r="F139" i="1" a="1"/>
  <c r="F139" i="1" s="1"/>
  <c r="G139" i="1" a="1"/>
  <c r="G139" i="1"/>
  <c r="E140" i="1" a="1"/>
  <c r="E140" i="1"/>
  <c r="F140" i="1" a="1"/>
  <c r="F140" i="1"/>
  <c r="G140" i="1" a="1"/>
  <c r="G140" i="1" s="1"/>
  <c r="E141" i="1" a="1"/>
  <c r="E141" i="1" s="1"/>
  <c r="F141" i="1" a="1"/>
  <c r="F141" i="1" s="1"/>
  <c r="G141" i="1" a="1"/>
  <c r="G141" i="1" s="1"/>
  <c r="E142" i="1" a="1"/>
  <c r="E142" i="1" s="1"/>
  <c r="F142" i="1" a="1"/>
  <c r="F142" i="1" s="1"/>
  <c r="G142" i="1" a="1"/>
  <c r="G142" i="1"/>
  <c r="E143" i="1" a="1"/>
  <c r="E143" i="1"/>
  <c r="F143" i="1" a="1"/>
  <c r="F143" i="1" s="1"/>
  <c r="G143" i="1" a="1"/>
  <c r="G143" i="1" s="1"/>
  <c r="E144" i="1" a="1"/>
  <c r="E144" i="1" s="1"/>
  <c r="F144" i="1" a="1"/>
  <c r="F144" i="1" s="1"/>
  <c r="G144" i="1" a="1"/>
  <c r="G144" i="1" s="1"/>
  <c r="E145" i="1" a="1"/>
  <c r="E145" i="1"/>
  <c r="F145" i="1" a="1"/>
  <c r="F145" i="1" s="1"/>
  <c r="G145" i="1" a="1"/>
  <c r="G145" i="1"/>
  <c r="E146" i="1" a="1"/>
  <c r="E146" i="1" s="1"/>
  <c r="F146" i="1" a="1"/>
  <c r="F146" i="1" s="1"/>
  <c r="G146" i="1" a="1"/>
  <c r="G146" i="1" s="1"/>
  <c r="E147" i="1" a="1"/>
  <c r="E147" i="1" s="1"/>
  <c r="F147" i="1" a="1"/>
  <c r="F147" i="1" s="1"/>
  <c r="G147" i="1" a="1"/>
  <c r="G147" i="1"/>
  <c r="E148" i="1" a="1"/>
  <c r="E148" i="1"/>
  <c r="F148" i="1" a="1"/>
  <c r="F148" i="1" s="1"/>
  <c r="G148" i="1" a="1"/>
  <c r="G148" i="1" s="1"/>
  <c r="E149" i="1" a="1"/>
  <c r="E149" i="1" s="1"/>
  <c r="F149" i="1" a="1"/>
  <c r="F149" i="1" s="1"/>
  <c r="G149" i="1" a="1"/>
  <c r="G149" i="1" s="1"/>
  <c r="E150" i="1" a="1"/>
  <c r="E150" i="1" s="1"/>
  <c r="F150" i="1" a="1"/>
  <c r="F150" i="1"/>
  <c r="G150" i="1" a="1"/>
  <c r="G150" i="1"/>
  <c r="E151" i="1" a="1"/>
  <c r="E151" i="1"/>
  <c r="F151" i="1" a="1"/>
  <c r="F151" i="1" s="1"/>
  <c r="G151" i="1" a="1"/>
  <c r="G151" i="1" s="1"/>
  <c r="E152" i="1" a="1"/>
  <c r="E152" i="1" s="1"/>
  <c r="F152" i="1" a="1"/>
  <c r="F152" i="1" s="1"/>
  <c r="G152" i="1" a="1"/>
  <c r="G152" i="1" s="1"/>
  <c r="E153" i="1" a="1"/>
  <c r="E153" i="1" s="1"/>
  <c r="F153" i="1" a="1"/>
  <c r="F153" i="1"/>
  <c r="G153" i="1" a="1"/>
  <c r="G153" i="1"/>
  <c r="E154" i="1" a="1"/>
  <c r="E154" i="1" s="1"/>
  <c r="F154" i="1" a="1"/>
  <c r="F154" i="1" s="1"/>
  <c r="G154" i="1" a="1"/>
  <c r="G154" i="1" s="1"/>
  <c r="E155" i="1" a="1"/>
  <c r="E155" i="1" s="1"/>
  <c r="F155" i="1" a="1"/>
  <c r="F155" i="1" s="1"/>
  <c r="G155" i="1" a="1"/>
  <c r="G155" i="1"/>
  <c r="E156" i="1" a="1"/>
  <c r="E156" i="1" s="1"/>
  <c r="F156" i="1" a="1"/>
  <c r="F156" i="1"/>
  <c r="G156" i="1" a="1"/>
  <c r="G156" i="1" s="1"/>
  <c r="E157" i="1" a="1"/>
  <c r="E157" i="1" s="1"/>
  <c r="F157" i="1" a="1"/>
  <c r="F157" i="1" s="1"/>
  <c r="G157" i="1" a="1"/>
  <c r="G157" i="1" s="1"/>
  <c r="E158" i="1" a="1"/>
  <c r="E158" i="1" s="1"/>
  <c r="F158" i="1" a="1"/>
  <c r="F158" i="1"/>
  <c r="G158" i="1" a="1"/>
  <c r="G158" i="1"/>
  <c r="E159" i="1" a="1"/>
  <c r="E159" i="1" s="1"/>
  <c r="F159" i="1" a="1"/>
  <c r="F159" i="1" s="1"/>
  <c r="G159" i="1" a="1"/>
  <c r="G159" i="1" s="1"/>
  <c r="E160" i="1" a="1"/>
  <c r="E160" i="1" s="1"/>
  <c r="F160" i="1" a="1"/>
  <c r="F160" i="1" s="1"/>
  <c r="G160" i="1" a="1"/>
  <c r="G160" i="1" s="1"/>
  <c r="E161" i="1" a="1"/>
  <c r="E161" i="1"/>
  <c r="F161" i="1" a="1"/>
  <c r="F161" i="1"/>
  <c r="G161" i="1" a="1"/>
  <c r="G161" i="1"/>
  <c r="E162" i="1" a="1"/>
  <c r="E162" i="1" s="1"/>
  <c r="F162" i="1" a="1"/>
  <c r="F162" i="1" s="1"/>
  <c r="G162" i="1" a="1"/>
  <c r="G162" i="1" s="1"/>
  <c r="E163" i="1" a="1"/>
  <c r="E163" i="1" s="1"/>
  <c r="F163" i="1" a="1"/>
  <c r="F163" i="1" s="1"/>
  <c r="G163" i="1" a="1"/>
  <c r="G163" i="1" s="1"/>
  <c r="E164" i="1" a="1"/>
  <c r="E164" i="1"/>
  <c r="F164" i="1" a="1"/>
  <c r="F164" i="1"/>
  <c r="G164" i="1" a="1"/>
  <c r="G164" i="1" s="1"/>
  <c r="E165" i="1" a="1"/>
  <c r="E165" i="1" s="1"/>
  <c r="F165" i="1" a="1"/>
  <c r="F165" i="1" s="1"/>
  <c r="G165" i="1" a="1"/>
  <c r="G165" i="1" s="1"/>
  <c r="E166" i="1" a="1"/>
  <c r="E166" i="1" s="1"/>
  <c r="F166" i="1" a="1"/>
  <c r="F166" i="1"/>
  <c r="G166" i="1" a="1"/>
  <c r="G166" i="1" s="1"/>
  <c r="E167" i="1" a="1"/>
  <c r="E167" i="1"/>
  <c r="F167" i="1" a="1"/>
  <c r="F167" i="1" s="1"/>
  <c r="G167" i="1" a="1"/>
  <c r="G167" i="1" s="1"/>
  <c r="E168" i="1" a="1"/>
  <c r="E168" i="1" s="1"/>
  <c r="F168" i="1" a="1"/>
  <c r="F168" i="1" s="1"/>
  <c r="G168" i="1" a="1"/>
  <c r="G168" i="1" s="1"/>
  <c r="E169" i="1" a="1"/>
  <c r="E169" i="1"/>
  <c r="F169" i="1" a="1"/>
  <c r="F169" i="1"/>
  <c r="G169" i="1" a="1"/>
  <c r="G169" i="1" s="1"/>
  <c r="E170" i="1" a="1"/>
  <c r="E170" i="1" s="1"/>
  <c r="F170" i="1" a="1"/>
  <c r="F170" i="1" s="1"/>
  <c r="G170" i="1" a="1"/>
  <c r="G170" i="1" s="1"/>
  <c r="E171" i="1" a="1"/>
  <c r="E171" i="1" s="1"/>
  <c r="F171" i="1" a="1"/>
  <c r="F171" i="1" s="1"/>
  <c r="G171" i="1" a="1"/>
  <c r="G171" i="1"/>
  <c r="E172" i="1" a="1"/>
  <c r="E172" i="1"/>
  <c r="F172" i="1" a="1"/>
  <c r="F172" i="1"/>
  <c r="G172" i="1" a="1"/>
  <c r="G172" i="1" s="1"/>
  <c r="E173" i="1" a="1"/>
  <c r="E173" i="1" s="1"/>
  <c r="F173" i="1" a="1"/>
  <c r="F173" i="1" s="1"/>
  <c r="G173" i="1" a="1"/>
  <c r="G173" i="1" s="1"/>
  <c r="E174" i="1" a="1"/>
  <c r="E174" i="1" s="1"/>
  <c r="F174" i="1" a="1"/>
  <c r="F174" i="1" s="1"/>
  <c r="G174" i="1" a="1"/>
  <c r="G174" i="1"/>
  <c r="E175" i="1" a="1"/>
  <c r="E175" i="1"/>
  <c r="F175" i="1" a="1"/>
  <c r="F175" i="1" s="1"/>
  <c r="G175" i="1" a="1"/>
  <c r="G175" i="1" s="1"/>
  <c r="E176" i="1" a="1"/>
  <c r="E176" i="1" s="1"/>
  <c r="F176" i="1" a="1"/>
  <c r="F176" i="1" s="1"/>
  <c r="G176" i="1" a="1"/>
  <c r="G176" i="1" s="1"/>
  <c r="E177" i="1" a="1"/>
  <c r="E177" i="1"/>
  <c r="F177" i="1" a="1"/>
  <c r="F177" i="1" s="1"/>
  <c r="G177" i="1" a="1"/>
  <c r="G177" i="1"/>
  <c r="E178" i="1" a="1"/>
  <c r="E178" i="1" s="1"/>
  <c r="F178" i="1" a="1"/>
  <c r="F178" i="1" s="1"/>
  <c r="G178" i="1" a="1"/>
  <c r="G178" i="1" s="1"/>
  <c r="E179" i="1" a="1"/>
  <c r="E179" i="1" s="1"/>
  <c r="F179" i="1" a="1"/>
  <c r="F179" i="1" s="1"/>
  <c r="G179" i="1" a="1"/>
  <c r="G179" i="1"/>
  <c r="E180" i="1" a="1"/>
  <c r="E180" i="1"/>
  <c r="F180" i="1" a="1"/>
  <c r="F180" i="1" s="1"/>
  <c r="G180" i="1" a="1"/>
  <c r="G180" i="1" s="1"/>
  <c r="E181" i="1" a="1"/>
  <c r="E181" i="1" s="1"/>
  <c r="F181" i="1" a="1"/>
  <c r="F181" i="1" s="1"/>
  <c r="G181" i="1" a="1"/>
  <c r="G181" i="1" s="1"/>
  <c r="E182" i="1" a="1"/>
  <c r="E182" i="1" s="1"/>
  <c r="F182" i="1" a="1"/>
  <c r="F182" i="1"/>
  <c r="G182" i="1" a="1"/>
  <c r="G182" i="1"/>
  <c r="E183" i="1" a="1"/>
  <c r="E183" i="1"/>
  <c r="F183" i="1" a="1"/>
  <c r="F183" i="1" s="1"/>
  <c r="G183" i="1" a="1"/>
  <c r="G183" i="1" s="1"/>
  <c r="E184" i="1" a="1"/>
  <c r="E184" i="1" s="1"/>
  <c r="F184" i="1" a="1"/>
  <c r="F184" i="1" s="1"/>
  <c r="G184" i="1" a="1"/>
  <c r="G184" i="1" s="1"/>
  <c r="E185" i="1" a="1"/>
  <c r="E185" i="1" s="1"/>
  <c r="F185" i="1" a="1"/>
  <c r="F185" i="1"/>
  <c r="G185" i="1" a="1"/>
  <c r="G185" i="1"/>
  <c r="E186" i="1" a="1"/>
  <c r="E186" i="1" s="1"/>
  <c r="F186" i="1" a="1"/>
  <c r="F186" i="1" s="1"/>
  <c r="G186" i="1" a="1"/>
  <c r="G186" i="1" s="1"/>
  <c r="E187" i="1" a="1"/>
  <c r="E187" i="1" s="1"/>
  <c r="F187" i="1" a="1"/>
  <c r="F187" i="1" s="1"/>
  <c r="G187" i="1" a="1"/>
  <c r="G187" i="1"/>
  <c r="E188" i="1" a="1"/>
  <c r="E188" i="1" s="1"/>
  <c r="F188" i="1" a="1"/>
  <c r="F188" i="1"/>
  <c r="G188" i="1" a="1"/>
  <c r="G188" i="1" s="1"/>
  <c r="E189" i="1" a="1"/>
  <c r="E189" i="1" s="1"/>
  <c r="F189" i="1" a="1"/>
  <c r="F189" i="1" s="1"/>
  <c r="G189" i="1" a="1"/>
  <c r="G189" i="1" s="1"/>
  <c r="E190" i="1" a="1"/>
  <c r="E190" i="1" s="1"/>
  <c r="F190" i="1" a="1"/>
  <c r="F190" i="1"/>
  <c r="G190" i="1" a="1"/>
  <c r="G190" i="1"/>
  <c r="E191" i="1" a="1"/>
  <c r="E191" i="1" s="1"/>
  <c r="F191" i="1" a="1"/>
  <c r="F191" i="1" s="1"/>
  <c r="G191" i="1" a="1"/>
  <c r="G191" i="1" s="1"/>
  <c r="E192" i="1" a="1"/>
  <c r="E192" i="1" s="1"/>
  <c r="F192" i="1" a="1"/>
  <c r="F192" i="1" s="1"/>
  <c r="G192" i="1" a="1"/>
  <c r="G192" i="1" s="1"/>
  <c r="E193" i="1" a="1"/>
  <c r="E193" i="1"/>
  <c r="F193" i="1" a="1"/>
  <c r="F193" i="1"/>
  <c r="G193" i="1" a="1"/>
  <c r="G193" i="1"/>
  <c r="E194" i="1" a="1"/>
  <c r="E194" i="1" s="1"/>
  <c r="F194" i="1" a="1"/>
  <c r="F194" i="1" s="1"/>
  <c r="G194" i="1" a="1"/>
  <c r="G194" i="1" s="1"/>
  <c r="E195" i="1" a="1"/>
  <c r="E195" i="1" s="1"/>
  <c r="F195" i="1" a="1"/>
  <c r="F195" i="1" s="1"/>
  <c r="G195" i="1" a="1"/>
  <c r="G195" i="1" s="1"/>
  <c r="E196" i="1" a="1"/>
  <c r="E196" i="1"/>
  <c r="F196" i="1" a="1"/>
  <c r="F196" i="1"/>
  <c r="G196" i="1" a="1"/>
  <c r="G196" i="1" s="1"/>
  <c r="E197" i="1" a="1"/>
  <c r="E197" i="1" s="1"/>
  <c r="F197" i="1" a="1"/>
  <c r="F197" i="1" s="1"/>
  <c r="G197" i="1" a="1"/>
  <c r="G197" i="1" s="1"/>
  <c r="E198" i="1" a="1"/>
  <c r="E198" i="1" s="1"/>
  <c r="F198" i="1" a="1"/>
  <c r="F198" i="1"/>
  <c r="G198" i="1" a="1"/>
  <c r="G198" i="1" s="1"/>
  <c r="E199" i="1" a="1"/>
  <c r="E199" i="1"/>
  <c r="F199" i="1" a="1"/>
  <c r="F199" i="1" s="1"/>
  <c r="G199" i="1" a="1"/>
  <c r="G199" i="1" s="1"/>
  <c r="E200" i="1" a="1"/>
  <c r="E200" i="1" s="1"/>
  <c r="F200" i="1" a="1"/>
  <c r="F200" i="1" s="1"/>
  <c r="G200" i="1" a="1"/>
  <c r="G200" i="1" s="1"/>
  <c r="E201" i="1" a="1"/>
  <c r="E201" i="1"/>
  <c r="F201" i="1" a="1"/>
  <c r="F201" i="1"/>
  <c r="G201" i="1" a="1"/>
  <c r="G201" i="1" s="1"/>
  <c r="E202" i="1" a="1"/>
  <c r="E202" i="1" s="1"/>
  <c r="F202" i="1" a="1"/>
  <c r="F202" i="1" s="1"/>
  <c r="G202" i="1" a="1"/>
  <c r="G202" i="1" s="1"/>
  <c r="E203" i="1" a="1"/>
  <c r="E203" i="1" s="1"/>
  <c r="F203" i="1" a="1"/>
  <c r="F203" i="1" s="1"/>
  <c r="G203" i="1" a="1"/>
  <c r="G203" i="1"/>
  <c r="E204" i="1" a="1"/>
  <c r="E204" i="1"/>
  <c r="F204" i="1" a="1"/>
  <c r="F204" i="1"/>
  <c r="G204" i="1" a="1"/>
  <c r="G204" i="1" s="1"/>
  <c r="E205" i="1" a="1"/>
  <c r="E205" i="1" s="1"/>
  <c r="F205" i="1" a="1"/>
  <c r="F205" i="1" s="1"/>
  <c r="G205" i="1" a="1"/>
  <c r="G205" i="1" s="1"/>
  <c r="E206" i="1" a="1"/>
  <c r="E206" i="1" s="1"/>
  <c r="F206" i="1" a="1"/>
  <c r="F206" i="1" s="1"/>
  <c r="G206" i="1" a="1"/>
  <c r="G206" i="1"/>
  <c r="E207" i="1" a="1"/>
  <c r="E207" i="1"/>
  <c r="F207" i="1" a="1"/>
  <c r="F207" i="1" s="1"/>
  <c r="G207" i="1" a="1"/>
  <c r="G207" i="1" s="1"/>
  <c r="E208" i="1" a="1"/>
  <c r="E208" i="1" s="1"/>
  <c r="F208" i="1" a="1"/>
  <c r="F208" i="1" s="1"/>
  <c r="G208" i="1" a="1"/>
  <c r="G208" i="1" s="1"/>
  <c r="E209" i="1" a="1"/>
  <c r="E209" i="1"/>
  <c r="F209" i="1" a="1"/>
  <c r="F209" i="1" s="1"/>
  <c r="G209" i="1" a="1"/>
  <c r="G209" i="1"/>
  <c r="E210" i="1" a="1"/>
  <c r="E210" i="1" s="1"/>
  <c r="F210" i="1" a="1"/>
  <c r="F210" i="1" s="1"/>
  <c r="G210" i="1" a="1"/>
  <c r="G210" i="1" s="1"/>
  <c r="E211" i="1" a="1"/>
  <c r="E211" i="1" s="1"/>
  <c r="F211" i="1" a="1"/>
  <c r="F211" i="1" s="1"/>
  <c r="G211" i="1" a="1"/>
  <c r="G211" i="1"/>
  <c r="E212" i="1" a="1"/>
  <c r="E212" i="1"/>
  <c r="F212" i="1" a="1"/>
  <c r="F212" i="1" s="1"/>
  <c r="G212" i="1" a="1"/>
  <c r="G212" i="1" s="1"/>
  <c r="E213" i="1" a="1"/>
  <c r="E213" i="1" s="1"/>
  <c r="F213" i="1" a="1"/>
  <c r="F213" i="1" s="1"/>
  <c r="G213" i="1" a="1"/>
  <c r="G213" i="1" s="1"/>
  <c r="E214" i="1" a="1"/>
  <c r="E214" i="1" s="1"/>
  <c r="F214" i="1" a="1"/>
  <c r="F214" i="1"/>
  <c r="G214" i="1" a="1"/>
  <c r="G214" i="1"/>
  <c r="E215" i="1" a="1"/>
  <c r="E215" i="1"/>
  <c r="F215" i="1" a="1"/>
  <c r="F215" i="1" s="1"/>
  <c r="G215" i="1" a="1"/>
  <c r="G215" i="1" s="1"/>
  <c r="E216" i="1" a="1"/>
  <c r="E216" i="1" s="1"/>
  <c r="F216" i="1" a="1"/>
  <c r="F216" i="1" s="1"/>
  <c r="G216" i="1" a="1"/>
  <c r="G216" i="1" s="1"/>
  <c r="E217" i="1" a="1"/>
  <c r="E217" i="1" s="1"/>
  <c r="F217" i="1" a="1"/>
  <c r="F217" i="1"/>
  <c r="G217" i="1" a="1"/>
  <c r="G217" i="1"/>
  <c r="E218" i="1" a="1"/>
  <c r="E218" i="1" s="1"/>
  <c r="F218" i="1" a="1"/>
  <c r="F218" i="1" s="1"/>
  <c r="G218" i="1" a="1"/>
  <c r="G218" i="1" s="1"/>
  <c r="E219" i="1" a="1"/>
  <c r="E219" i="1" s="1"/>
  <c r="F219" i="1" a="1"/>
  <c r="F219" i="1" s="1"/>
  <c r="G219" i="1" a="1"/>
  <c r="G219" i="1"/>
  <c r="E220" i="1" a="1"/>
  <c r="E220" i="1" s="1"/>
  <c r="F220" i="1" a="1"/>
  <c r="F220" i="1"/>
  <c r="G220" i="1" a="1"/>
  <c r="G220" i="1" s="1"/>
  <c r="E221" i="1" a="1"/>
  <c r="E221" i="1" s="1"/>
  <c r="F221" i="1" a="1"/>
  <c r="F221" i="1" s="1"/>
  <c r="G221" i="1" a="1"/>
  <c r="G221" i="1" s="1"/>
  <c r="E222" i="1" a="1"/>
  <c r="E222" i="1" s="1"/>
  <c r="F222" i="1" a="1"/>
  <c r="F222" i="1"/>
  <c r="G222" i="1" a="1"/>
  <c r="G222" i="1"/>
  <c r="E223" i="1" a="1"/>
  <c r="E223" i="1" s="1"/>
  <c r="F223" i="1" a="1"/>
  <c r="F223" i="1" s="1"/>
  <c r="G223" i="1" a="1"/>
  <c r="G223" i="1" s="1"/>
  <c r="E224" i="1" a="1"/>
  <c r="E224" i="1" s="1"/>
  <c r="F224" i="1" a="1"/>
  <c r="F224" i="1" s="1"/>
  <c r="G224" i="1" a="1"/>
  <c r="G224" i="1" s="1"/>
  <c r="E225" i="1" a="1"/>
  <c r="E225" i="1"/>
  <c r="F225" i="1" a="1"/>
  <c r="F225" i="1"/>
  <c r="G225" i="1" a="1"/>
  <c r="G225" i="1"/>
  <c r="E226" i="1" a="1"/>
  <c r="E226" i="1" s="1"/>
  <c r="F226" i="1" a="1"/>
  <c r="F226" i="1" s="1"/>
  <c r="G226" i="1" a="1"/>
  <c r="G226" i="1" s="1"/>
  <c r="E227" i="1" a="1"/>
  <c r="E227" i="1" s="1"/>
  <c r="F227" i="1" a="1"/>
  <c r="F227" i="1" s="1"/>
  <c r="G227" i="1" a="1"/>
  <c r="G227" i="1" s="1"/>
  <c r="E228" i="1" a="1"/>
  <c r="E228" i="1"/>
  <c r="F228" i="1" a="1"/>
  <c r="F228" i="1"/>
  <c r="G228" i="1" a="1"/>
  <c r="G228" i="1" s="1"/>
  <c r="E229" i="1" a="1"/>
  <c r="E229" i="1" s="1"/>
  <c r="F229" i="1" a="1"/>
  <c r="F229" i="1" s="1"/>
  <c r="G229" i="1" a="1"/>
  <c r="G229" i="1" s="1"/>
  <c r="E230" i="1" a="1"/>
  <c r="E230" i="1" s="1"/>
  <c r="F230" i="1" a="1"/>
  <c r="F230" i="1"/>
  <c r="G230" i="1" a="1"/>
  <c r="G230" i="1" s="1"/>
  <c r="E231" i="1" a="1"/>
  <c r="E231" i="1"/>
  <c r="F231" i="1" a="1"/>
  <c r="F231" i="1" s="1"/>
  <c r="G231" i="1" a="1"/>
  <c r="G231" i="1" s="1"/>
  <c r="E232" i="1" a="1"/>
  <c r="E232" i="1" s="1"/>
  <c r="F232" i="1" a="1"/>
  <c r="F232" i="1" s="1"/>
  <c r="G232" i="1" a="1"/>
  <c r="G232" i="1" s="1"/>
  <c r="E233" i="1" a="1"/>
  <c r="E233" i="1"/>
  <c r="F233" i="1" a="1"/>
  <c r="F233" i="1"/>
  <c r="G233" i="1" a="1"/>
  <c r="G233" i="1" s="1"/>
  <c r="E234" i="1" a="1"/>
  <c r="E234" i="1" s="1"/>
  <c r="F234" i="1" a="1"/>
  <c r="F234" i="1" s="1"/>
  <c r="G234" i="1" a="1"/>
  <c r="G234" i="1" s="1"/>
  <c r="E235" i="1" a="1"/>
  <c r="E235" i="1" s="1"/>
  <c r="F235" i="1" a="1"/>
  <c r="F235" i="1" s="1"/>
  <c r="G235" i="1" a="1"/>
  <c r="G235" i="1"/>
  <c r="E236" i="1" a="1"/>
  <c r="E236" i="1"/>
  <c r="F236" i="1" a="1"/>
  <c r="F236" i="1"/>
  <c r="G236" i="1" a="1"/>
  <c r="G236" i="1" s="1"/>
  <c r="E237" i="1" a="1"/>
  <c r="E237" i="1" s="1"/>
  <c r="F237" i="1" a="1"/>
  <c r="F237" i="1" s="1"/>
  <c r="G237" i="1" a="1"/>
  <c r="G237" i="1" s="1"/>
  <c r="E238" i="1" a="1"/>
  <c r="E238" i="1" s="1"/>
  <c r="F238" i="1" a="1"/>
  <c r="F238" i="1" s="1"/>
  <c r="G238" i="1" a="1"/>
  <c r="G238" i="1"/>
  <c r="E239" i="1" a="1"/>
  <c r="E239" i="1"/>
  <c r="F239" i="1" a="1"/>
  <c r="F239" i="1" s="1"/>
  <c r="G239" i="1" a="1"/>
  <c r="G239" i="1" s="1"/>
  <c r="E240" i="1" a="1"/>
  <c r="E240" i="1" s="1"/>
  <c r="F240" i="1" a="1"/>
  <c r="F240" i="1" s="1"/>
  <c r="G240" i="1" a="1"/>
  <c r="G240" i="1" s="1"/>
  <c r="E241" i="1" a="1"/>
  <c r="E241" i="1"/>
  <c r="F241" i="1" a="1"/>
  <c r="F241" i="1" s="1"/>
  <c r="G241" i="1" a="1"/>
  <c r="G241" i="1"/>
  <c r="E242" i="1" a="1"/>
  <c r="E242" i="1" s="1"/>
  <c r="F242" i="1" a="1"/>
  <c r="F242" i="1" s="1"/>
  <c r="G242" i="1" a="1"/>
  <c r="G242" i="1" s="1"/>
  <c r="E243" i="1" a="1"/>
  <c r="E243" i="1" s="1"/>
  <c r="F243" i="1" a="1"/>
  <c r="F243" i="1" s="1"/>
  <c r="G243" i="1" a="1"/>
  <c r="G243" i="1"/>
  <c r="E244" i="1" a="1"/>
  <c r="E244" i="1"/>
  <c r="F244" i="1" a="1"/>
  <c r="F244" i="1" s="1"/>
  <c r="G244" i="1" a="1"/>
  <c r="G244" i="1" s="1"/>
  <c r="E245" i="1" a="1"/>
  <c r="E245" i="1" s="1"/>
  <c r="F245" i="1" a="1"/>
  <c r="F245" i="1" s="1"/>
  <c r="G245" i="1" a="1"/>
  <c r="G245" i="1" s="1"/>
  <c r="E246" i="1" a="1"/>
  <c r="E246" i="1" s="1"/>
  <c r="F246" i="1" a="1"/>
  <c r="F246" i="1"/>
  <c r="G246" i="1" a="1"/>
  <c r="G246" i="1"/>
  <c r="E247" i="1" a="1"/>
  <c r="E247" i="1"/>
  <c r="F247" i="1" a="1"/>
  <c r="F247" i="1" s="1"/>
  <c r="G247" i="1" a="1"/>
  <c r="G247" i="1" s="1"/>
  <c r="E248" i="1" a="1"/>
  <c r="E248" i="1" s="1"/>
  <c r="F248" i="1" a="1"/>
  <c r="F248" i="1" s="1"/>
  <c r="G248" i="1" a="1"/>
  <c r="G248" i="1" s="1"/>
  <c r="E249" i="1" a="1"/>
  <c r="E249" i="1" s="1"/>
  <c r="F249" i="1" a="1"/>
  <c r="F249" i="1"/>
  <c r="G249" i="1" a="1"/>
  <c r="G249" i="1"/>
  <c r="E250" i="1" a="1"/>
  <c r="E250" i="1" s="1"/>
  <c r="F250" i="1" a="1"/>
  <c r="F250" i="1" s="1"/>
  <c r="G250" i="1" a="1"/>
  <c r="G250" i="1" s="1"/>
  <c r="E251" i="1" a="1"/>
  <c r="E251" i="1" s="1"/>
  <c r="F251" i="1" a="1"/>
  <c r="F251" i="1" s="1"/>
  <c r="G251" i="1" a="1"/>
  <c r="G251" i="1"/>
  <c r="E252" i="1" a="1"/>
  <c r="E252" i="1" s="1"/>
  <c r="F252" i="1" a="1"/>
  <c r="F252" i="1"/>
  <c r="G252" i="1" a="1"/>
  <c r="G252" i="1" s="1"/>
  <c r="E253" i="1" a="1"/>
  <c r="E253" i="1" s="1"/>
  <c r="F253" i="1" a="1"/>
  <c r="F253" i="1" s="1"/>
  <c r="G253" i="1" a="1"/>
  <c r="G253" i="1" s="1"/>
  <c r="E254" i="1" a="1"/>
  <c r="E254" i="1" s="1"/>
  <c r="F254" i="1" a="1"/>
  <c r="F254" i="1"/>
  <c r="G254" i="1" a="1"/>
  <c r="G254" i="1"/>
  <c r="E255" i="1" a="1"/>
  <c r="E255" i="1" s="1"/>
  <c r="F255" i="1" a="1"/>
  <c r="F255" i="1" s="1"/>
  <c r="G255" i="1" a="1"/>
  <c r="G255" i="1" s="1"/>
  <c r="E256" i="1" a="1"/>
  <c r="E256" i="1" s="1"/>
  <c r="F256" i="1" a="1"/>
  <c r="F256" i="1" s="1"/>
  <c r="G256" i="1" a="1"/>
  <c r="G256" i="1" s="1"/>
  <c r="E257" i="1" a="1"/>
  <c r="E257" i="1"/>
  <c r="F257" i="1" a="1"/>
  <c r="F257" i="1"/>
  <c r="G257" i="1" a="1"/>
  <c r="G257" i="1"/>
  <c r="E258" i="1" a="1"/>
  <c r="E258" i="1" s="1"/>
  <c r="F258" i="1" a="1"/>
  <c r="F258" i="1" s="1"/>
  <c r="G258" i="1" a="1"/>
  <c r="G258" i="1" s="1"/>
  <c r="E259" i="1" a="1"/>
  <c r="E259" i="1" s="1"/>
  <c r="F259" i="1" a="1"/>
  <c r="F259" i="1" s="1"/>
  <c r="G259" i="1" a="1"/>
  <c r="G259" i="1" s="1"/>
  <c r="E260" i="1" a="1"/>
  <c r="E260" i="1"/>
  <c r="F260" i="1" a="1"/>
  <c r="F260" i="1"/>
  <c r="G260" i="1" a="1"/>
  <c r="G260" i="1" s="1"/>
  <c r="E261" i="1" a="1"/>
  <c r="E261" i="1" s="1"/>
  <c r="F261" i="1" a="1"/>
  <c r="F261" i="1" s="1"/>
  <c r="G261" i="1" a="1"/>
  <c r="G261" i="1" s="1"/>
  <c r="E262" i="1" a="1"/>
  <c r="E262" i="1" s="1"/>
  <c r="F262" i="1" a="1"/>
  <c r="F262" i="1"/>
  <c r="G262" i="1" a="1"/>
  <c r="G262" i="1" s="1"/>
  <c r="E263" i="1" a="1"/>
  <c r="E263" i="1"/>
  <c r="F263" i="1" a="1"/>
  <c r="F263" i="1" s="1"/>
  <c r="G263" i="1" a="1"/>
  <c r="G263" i="1" s="1"/>
  <c r="E264" i="1" a="1"/>
  <c r="E264" i="1" s="1"/>
  <c r="F264" i="1" a="1"/>
  <c r="F264" i="1" s="1"/>
  <c r="G264" i="1" a="1"/>
  <c r="G264" i="1" s="1"/>
  <c r="E265" i="1" a="1"/>
  <c r="E265" i="1"/>
  <c r="F265" i="1" a="1"/>
  <c r="F265" i="1"/>
  <c r="G265" i="1" a="1"/>
  <c r="G265" i="1" s="1"/>
  <c r="E266" i="1" a="1"/>
  <c r="E266" i="1" s="1"/>
  <c r="F266" i="1" a="1"/>
  <c r="F266" i="1" s="1"/>
  <c r="G266" i="1" a="1"/>
  <c r="G266" i="1" s="1"/>
  <c r="E267" i="1" a="1"/>
  <c r="E267" i="1" s="1"/>
  <c r="F267" i="1" a="1"/>
  <c r="F267" i="1" s="1"/>
  <c r="G267" i="1" a="1"/>
  <c r="G267" i="1"/>
  <c r="E268" i="1" a="1"/>
  <c r="E268" i="1"/>
  <c r="F268" i="1" a="1"/>
  <c r="F268" i="1"/>
  <c r="G268" i="1" a="1"/>
  <c r="G268" i="1" s="1"/>
  <c r="E269" i="1" a="1"/>
  <c r="E269" i="1" s="1"/>
  <c r="F269" i="1" a="1"/>
  <c r="F269" i="1" s="1"/>
  <c r="G269" i="1" a="1"/>
  <c r="G269" i="1" s="1"/>
  <c r="E270" i="1" a="1"/>
  <c r="E270" i="1" s="1"/>
  <c r="F270" i="1" a="1"/>
  <c r="F270" i="1" s="1"/>
  <c r="G270" i="1" a="1"/>
  <c r="G270" i="1"/>
  <c r="E271" i="1" a="1"/>
  <c r="E271" i="1"/>
  <c r="F271" i="1" a="1"/>
  <c r="F271" i="1" s="1"/>
  <c r="G271" i="1" a="1"/>
  <c r="G271" i="1" s="1"/>
  <c r="E272" i="1" a="1"/>
  <c r="E272" i="1" s="1"/>
  <c r="F272" i="1" a="1"/>
  <c r="F272" i="1" s="1"/>
  <c r="G272" i="1" a="1"/>
  <c r="G272" i="1" s="1"/>
  <c r="E273" i="1" a="1"/>
  <c r="E273" i="1"/>
  <c r="F273" i="1" a="1"/>
  <c r="F273" i="1" s="1"/>
  <c r="G273" i="1" a="1"/>
  <c r="G273" i="1"/>
  <c r="E274" i="1" a="1"/>
  <c r="E274" i="1" s="1"/>
  <c r="F274" i="1" a="1"/>
  <c r="F274" i="1" s="1"/>
  <c r="G274" i="1" a="1"/>
  <c r="G274" i="1" s="1"/>
  <c r="E275" i="1" a="1"/>
  <c r="E275" i="1" s="1"/>
  <c r="F275" i="1" a="1"/>
  <c r="F275" i="1" s="1"/>
  <c r="G275" i="1" a="1"/>
  <c r="G275" i="1"/>
  <c r="E276" i="1" a="1"/>
  <c r="E276" i="1"/>
  <c r="F276" i="1" a="1"/>
  <c r="F276" i="1" s="1"/>
  <c r="G276" i="1" a="1"/>
  <c r="G276" i="1" s="1"/>
  <c r="E277" i="1" a="1"/>
  <c r="E277" i="1" s="1"/>
  <c r="F277" i="1" a="1"/>
  <c r="F277" i="1" s="1"/>
  <c r="G277" i="1" a="1"/>
  <c r="G277" i="1" s="1"/>
  <c r="E278" i="1" a="1"/>
  <c r="E278" i="1" s="1"/>
  <c r="F278" i="1" a="1"/>
  <c r="F278" i="1"/>
  <c r="G278" i="1" a="1"/>
  <c r="G278" i="1"/>
  <c r="E279" i="1" a="1"/>
  <c r="E279" i="1"/>
  <c r="F279" i="1" a="1"/>
  <c r="F279" i="1" s="1"/>
  <c r="G279" i="1" a="1"/>
  <c r="G279" i="1" s="1"/>
  <c r="E280" i="1" a="1"/>
  <c r="E280" i="1" s="1"/>
  <c r="F280" i="1" a="1"/>
  <c r="F280" i="1" s="1"/>
  <c r="G280" i="1" a="1"/>
  <c r="G280" i="1" s="1"/>
  <c r="E281" i="1" a="1"/>
  <c r="E281" i="1" s="1"/>
  <c r="F281" i="1" a="1"/>
  <c r="F281" i="1"/>
  <c r="G281" i="1" a="1"/>
  <c r="G281" i="1"/>
  <c r="E282" i="1" a="1"/>
  <c r="E282" i="1" s="1"/>
  <c r="F282" i="1" a="1"/>
  <c r="F282" i="1" s="1"/>
  <c r="G282" i="1" a="1"/>
  <c r="G282" i="1" s="1"/>
  <c r="E283" i="1" a="1"/>
  <c r="E283" i="1" s="1"/>
  <c r="F283" i="1" a="1"/>
  <c r="F283" i="1" s="1"/>
  <c r="G283" i="1" a="1"/>
  <c r="G283" i="1"/>
  <c r="E284" i="1" a="1"/>
  <c r="E284" i="1" s="1"/>
  <c r="F284" i="1" a="1"/>
  <c r="F284" i="1"/>
  <c r="G284" i="1" a="1"/>
  <c r="G284" i="1" s="1"/>
  <c r="E285" i="1" a="1"/>
  <c r="E285" i="1" s="1"/>
  <c r="F285" i="1" a="1"/>
  <c r="F285" i="1" s="1"/>
  <c r="G285" i="1" a="1"/>
  <c r="G285" i="1" s="1"/>
  <c r="E286" i="1" a="1"/>
  <c r="E286" i="1" s="1"/>
  <c r="F286" i="1" a="1"/>
  <c r="F286" i="1"/>
  <c r="G286" i="1" a="1"/>
  <c r="G286" i="1"/>
  <c r="E287" i="1" a="1"/>
  <c r="E287" i="1" s="1"/>
  <c r="F287" i="1" a="1"/>
  <c r="F287" i="1" s="1"/>
  <c r="G287" i="1" a="1"/>
  <c r="G287" i="1" s="1"/>
  <c r="E288" i="1" a="1"/>
  <c r="E288" i="1" s="1"/>
  <c r="F288" i="1" a="1"/>
  <c r="F288" i="1" s="1"/>
  <c r="G288" i="1" a="1"/>
  <c r="G288" i="1" s="1"/>
  <c r="E289" i="1" a="1"/>
  <c r="E289" i="1"/>
  <c r="F289" i="1" a="1"/>
  <c r="F289" i="1"/>
  <c r="G289" i="1" a="1"/>
  <c r="G289" i="1"/>
  <c r="E290" i="1" a="1"/>
  <c r="E290" i="1" s="1"/>
  <c r="F290" i="1" a="1"/>
  <c r="F290" i="1" s="1"/>
  <c r="G290" i="1" a="1"/>
  <c r="G290" i="1" s="1"/>
  <c r="E291" i="1" a="1"/>
  <c r="E291" i="1" s="1"/>
  <c r="F291" i="1" a="1"/>
  <c r="F291" i="1" s="1"/>
  <c r="G291" i="1" a="1"/>
  <c r="G291" i="1" s="1"/>
  <c r="E292" i="1" a="1"/>
  <c r="E292" i="1"/>
  <c r="F292" i="1" a="1"/>
  <c r="F292" i="1"/>
  <c r="G292" i="1" a="1"/>
  <c r="G292" i="1" s="1"/>
  <c r="E293" i="1" a="1"/>
  <c r="E293" i="1" s="1"/>
  <c r="F293" i="1" a="1"/>
  <c r="F293" i="1" s="1"/>
  <c r="G293" i="1" a="1"/>
  <c r="G293" i="1" s="1"/>
  <c r="E294" i="1" a="1"/>
  <c r="E294" i="1" s="1"/>
  <c r="F294" i="1" a="1"/>
  <c r="F294" i="1"/>
  <c r="G294" i="1" a="1"/>
  <c r="G294" i="1" s="1"/>
  <c r="E295" i="1" a="1"/>
  <c r="E295" i="1"/>
  <c r="F295" i="1" a="1"/>
  <c r="F295" i="1" s="1"/>
  <c r="G295" i="1" a="1"/>
  <c r="G295" i="1" s="1"/>
  <c r="E296" i="1" a="1"/>
  <c r="E296" i="1" s="1"/>
  <c r="F296" i="1" a="1"/>
  <c r="F296" i="1" s="1"/>
  <c r="G296" i="1" a="1"/>
  <c r="G296" i="1" s="1"/>
  <c r="E297" i="1" a="1"/>
  <c r="E297" i="1"/>
  <c r="F297" i="1" a="1"/>
  <c r="F297" i="1"/>
  <c r="G297" i="1" a="1"/>
  <c r="G297" i="1" s="1"/>
  <c r="E298" i="1" a="1"/>
  <c r="E298" i="1" s="1"/>
  <c r="F298" i="1" a="1"/>
  <c r="F298" i="1" s="1"/>
  <c r="G298" i="1" a="1"/>
  <c r="G298" i="1" s="1"/>
  <c r="E299" i="1" a="1"/>
  <c r="E299" i="1" s="1"/>
  <c r="F299" i="1" a="1"/>
  <c r="F299" i="1" s="1"/>
  <c r="G299" i="1" a="1"/>
  <c r="G299" i="1"/>
  <c r="E300" i="1" a="1"/>
  <c r="E300" i="1"/>
  <c r="F300" i="1" a="1"/>
  <c r="F300" i="1"/>
  <c r="G300" i="1" a="1"/>
  <c r="G300" i="1" s="1"/>
  <c r="E301" i="1" a="1"/>
  <c r="E301" i="1" s="1"/>
  <c r="F301" i="1" a="1"/>
  <c r="F301" i="1" s="1"/>
  <c r="G301" i="1" a="1"/>
  <c r="G301" i="1" s="1"/>
  <c r="E302" i="1" a="1"/>
  <c r="E302" i="1" s="1"/>
  <c r="F302" i="1" a="1"/>
  <c r="F302" i="1" s="1"/>
  <c r="G302" i="1" a="1"/>
  <c r="G302" i="1"/>
  <c r="E303" i="1" a="1"/>
  <c r="E303" i="1"/>
  <c r="F303" i="1" a="1"/>
  <c r="F303" i="1" s="1"/>
  <c r="G303" i="1" a="1"/>
  <c r="G303" i="1" s="1"/>
  <c r="E304" i="1" a="1"/>
  <c r="E304" i="1" s="1"/>
  <c r="F304" i="1" a="1"/>
  <c r="F304" i="1" s="1"/>
  <c r="G304" i="1" a="1"/>
  <c r="G304" i="1" s="1"/>
  <c r="E305" i="1" a="1"/>
  <c r="E305" i="1"/>
  <c r="F305" i="1" a="1"/>
  <c r="F305" i="1" s="1"/>
  <c r="G305" i="1" a="1"/>
  <c r="G305" i="1"/>
  <c r="E306" i="1" a="1"/>
  <c r="E306" i="1" s="1"/>
  <c r="F306" i="1" a="1"/>
  <c r="F306" i="1" s="1"/>
  <c r="G306" i="1" a="1"/>
  <c r="G306" i="1" s="1"/>
  <c r="E307" i="1" a="1"/>
  <c r="E307" i="1" s="1"/>
  <c r="F307" i="1" a="1"/>
  <c r="F307" i="1" s="1"/>
  <c r="G307" i="1" a="1"/>
  <c r="G307" i="1"/>
  <c r="E308" i="1" a="1"/>
  <c r="E308" i="1"/>
  <c r="F308" i="1" a="1"/>
  <c r="F308" i="1" s="1"/>
  <c r="G308" i="1" a="1"/>
  <c r="G308" i="1" s="1"/>
  <c r="E309" i="1" a="1"/>
  <c r="E309" i="1" s="1"/>
  <c r="F309" i="1" a="1"/>
  <c r="F309" i="1" s="1"/>
  <c r="G309" i="1" a="1"/>
  <c r="G309" i="1" s="1"/>
  <c r="E310" i="1" a="1"/>
  <c r="E310" i="1" s="1"/>
  <c r="F310" i="1" a="1"/>
  <c r="F310" i="1"/>
  <c r="G310" i="1" a="1"/>
  <c r="G310" i="1"/>
  <c r="E311" i="1" a="1"/>
  <c r="E311" i="1"/>
  <c r="F311" i="1" a="1"/>
  <c r="F311" i="1" s="1"/>
  <c r="G311" i="1" a="1"/>
  <c r="G311" i="1" s="1"/>
  <c r="E312" i="1" a="1"/>
  <c r="E312" i="1" s="1"/>
  <c r="F312" i="1" a="1"/>
  <c r="F312" i="1" s="1"/>
  <c r="G312" i="1" a="1"/>
  <c r="G312" i="1" s="1"/>
  <c r="E313" i="1" a="1"/>
  <c r="E313" i="1" s="1"/>
  <c r="F313" i="1" a="1"/>
  <c r="F313" i="1"/>
  <c r="G313" i="1" a="1"/>
  <c r="G313" i="1"/>
  <c r="E314" i="1" a="1"/>
  <c r="E314" i="1" s="1"/>
  <c r="F314" i="1" a="1"/>
  <c r="F314" i="1" s="1"/>
  <c r="G314" i="1" a="1"/>
  <c r="G314" i="1" s="1"/>
  <c r="E315" i="1" a="1"/>
  <c r="E315" i="1" s="1"/>
  <c r="F315" i="1" a="1"/>
  <c r="F315" i="1" s="1"/>
  <c r="G315" i="1" a="1"/>
  <c r="G315" i="1"/>
  <c r="E316" i="1" a="1"/>
  <c r="E316" i="1" s="1"/>
  <c r="F316" i="1" a="1"/>
  <c r="F316" i="1"/>
  <c r="G316" i="1" a="1"/>
  <c r="G316" i="1" s="1"/>
  <c r="E317" i="1" a="1"/>
  <c r="E317" i="1" s="1"/>
  <c r="F317" i="1" a="1"/>
  <c r="F317" i="1" s="1"/>
  <c r="G317" i="1" a="1"/>
  <c r="G317" i="1" s="1"/>
  <c r="E318" i="1" a="1"/>
  <c r="E318" i="1" s="1"/>
  <c r="F318" i="1" a="1"/>
  <c r="F318" i="1"/>
  <c r="G318" i="1" a="1"/>
  <c r="G318" i="1"/>
  <c r="E319" i="1" a="1"/>
  <c r="E319" i="1" s="1"/>
  <c r="F319" i="1" a="1"/>
  <c r="F319" i="1" s="1"/>
  <c r="G319" i="1" a="1"/>
  <c r="G319" i="1" s="1"/>
  <c r="E320" i="1" a="1"/>
  <c r="E320" i="1" s="1"/>
  <c r="F320" i="1" a="1"/>
  <c r="F320" i="1" s="1"/>
  <c r="G320" i="1" a="1"/>
  <c r="G320" i="1" s="1"/>
  <c r="E321" i="1" a="1"/>
  <c r="E321" i="1"/>
  <c r="F321" i="1" a="1"/>
  <c r="F321" i="1"/>
  <c r="G321" i="1" a="1"/>
  <c r="G321" i="1"/>
  <c r="E322" i="1" a="1"/>
  <c r="E322" i="1" s="1"/>
  <c r="F322" i="1" a="1"/>
  <c r="F322" i="1" s="1"/>
  <c r="G322" i="1" a="1"/>
  <c r="G322" i="1" s="1"/>
  <c r="E323" i="1" a="1"/>
  <c r="E323" i="1" s="1"/>
  <c r="F323" i="1" a="1"/>
  <c r="F323" i="1" s="1"/>
  <c r="G323" i="1" a="1"/>
  <c r="G323" i="1" s="1"/>
  <c r="E324" i="1" a="1"/>
  <c r="E324" i="1"/>
  <c r="F324" i="1" a="1"/>
  <c r="F324" i="1"/>
  <c r="G324" i="1" a="1"/>
  <c r="G324" i="1" s="1"/>
  <c r="E325" i="1" a="1"/>
  <c r="E325" i="1" s="1"/>
  <c r="F325" i="1" a="1"/>
  <c r="F325" i="1" s="1"/>
  <c r="G325" i="1" a="1"/>
  <c r="G325" i="1" s="1"/>
  <c r="E326" i="1" a="1"/>
  <c r="E326" i="1" s="1"/>
  <c r="F326" i="1" a="1"/>
  <c r="F326" i="1"/>
  <c r="G326" i="1" a="1"/>
  <c r="G326" i="1" s="1"/>
  <c r="E327" i="1" a="1"/>
  <c r="E327" i="1"/>
  <c r="F327" i="1" a="1"/>
  <c r="F327" i="1" s="1"/>
  <c r="G327" i="1" a="1"/>
  <c r="G327" i="1" s="1"/>
  <c r="E328" i="1" a="1"/>
  <c r="E328" i="1" s="1"/>
  <c r="F328" i="1" a="1"/>
  <c r="F328" i="1" s="1"/>
  <c r="G328" i="1" a="1"/>
  <c r="G328" i="1" s="1"/>
  <c r="E329" i="1" a="1"/>
  <c r="E329" i="1" s="1"/>
  <c r="F329" i="1" a="1"/>
  <c r="F329" i="1"/>
  <c r="G329" i="1" a="1"/>
  <c r="G329" i="1" s="1"/>
  <c r="E330" i="1" a="1"/>
  <c r="E330" i="1" s="1"/>
  <c r="F330" i="1" a="1"/>
  <c r="F330" i="1" s="1"/>
  <c r="G330" i="1" a="1"/>
  <c r="G330" i="1" s="1"/>
  <c r="E331" i="1" a="1"/>
  <c r="E331" i="1" s="1"/>
  <c r="F331" i="1" a="1"/>
  <c r="F331" i="1" s="1"/>
  <c r="G331" i="1" a="1"/>
  <c r="G331" i="1"/>
  <c r="E332" i="1" a="1"/>
  <c r="E332" i="1" s="1"/>
  <c r="F332" i="1" a="1"/>
  <c r="F332" i="1"/>
  <c r="G332" i="1" a="1"/>
  <c r="G332" i="1" s="1"/>
  <c r="E333" i="1" a="1"/>
  <c r="E333" i="1" s="1"/>
  <c r="F333" i="1" a="1"/>
  <c r="F333" i="1" s="1"/>
  <c r="G333" i="1" a="1"/>
  <c r="G333" i="1" s="1"/>
  <c r="E334" i="1" a="1"/>
  <c r="E334" i="1" s="1"/>
  <c r="F334" i="1" a="1"/>
  <c r="F334" i="1" s="1"/>
  <c r="G334" i="1" a="1"/>
  <c r="G334" i="1"/>
  <c r="E335" i="1" a="1"/>
  <c r="E335" i="1" s="1"/>
  <c r="F335" i="1" a="1"/>
  <c r="F335" i="1" s="1"/>
  <c r="G335" i="1" a="1"/>
  <c r="G335" i="1" s="1"/>
  <c r="E336" i="1" a="1"/>
  <c r="E336" i="1" s="1"/>
  <c r="F336" i="1" a="1"/>
  <c r="F336" i="1" s="1"/>
  <c r="G336" i="1" a="1"/>
  <c r="G336" i="1" s="1"/>
  <c r="E337" i="1" a="1"/>
  <c r="E337" i="1"/>
  <c r="F337" i="1" a="1"/>
  <c r="F337" i="1" s="1"/>
  <c r="G337" i="1" a="1"/>
  <c r="G337" i="1"/>
  <c r="E338" i="1" a="1"/>
  <c r="E338" i="1" s="1"/>
  <c r="F338" i="1" a="1"/>
  <c r="F338" i="1" s="1"/>
  <c r="G338" i="1" a="1"/>
  <c r="G338" i="1"/>
  <c r="E339" i="1" a="1"/>
  <c r="E339" i="1" s="1"/>
  <c r="F339" i="1" a="1"/>
  <c r="F339" i="1" s="1"/>
  <c r="G339" i="1" a="1"/>
  <c r="G339" i="1" s="1"/>
  <c r="E340" i="1" a="1"/>
  <c r="E340" i="1"/>
  <c r="F340" i="1" a="1"/>
  <c r="F340" i="1" s="1"/>
  <c r="G340" i="1" a="1"/>
  <c r="G340" i="1" s="1"/>
  <c r="E341" i="1" a="1"/>
  <c r="E341" i="1"/>
  <c r="F341" i="1" a="1"/>
  <c r="F341" i="1" s="1"/>
  <c r="G341" i="1" a="1"/>
  <c r="G341" i="1"/>
  <c r="E342" i="1" a="1"/>
  <c r="E342" i="1" s="1"/>
  <c r="F342" i="1" a="1"/>
  <c r="F342" i="1"/>
  <c r="G342" i="1" a="1"/>
  <c r="G342" i="1"/>
  <c r="E343" i="1" a="1"/>
  <c r="E343" i="1"/>
  <c r="F343" i="1" a="1"/>
  <c r="F343" i="1" s="1"/>
  <c r="G343" i="1" a="1"/>
  <c r="G343" i="1"/>
  <c r="E344" i="1" a="1"/>
  <c r="E344" i="1"/>
  <c r="F344" i="1" a="1"/>
  <c r="F344" i="1" s="1"/>
  <c r="G344" i="1" a="1"/>
  <c r="G344" i="1" s="1"/>
  <c r="E345" i="1" a="1"/>
  <c r="E345" i="1" s="1"/>
  <c r="F345" i="1" a="1"/>
  <c r="F345" i="1" s="1"/>
  <c r="G345" i="1" a="1"/>
  <c r="G345" i="1"/>
  <c r="E346" i="1" a="1"/>
  <c r="E346" i="1" s="1"/>
  <c r="F346" i="1" a="1"/>
  <c r="F346" i="1"/>
  <c r="G346" i="1" a="1"/>
  <c r="G346" i="1" s="1"/>
  <c r="E347" i="1" a="1"/>
  <c r="E347" i="1"/>
  <c r="F347" i="1" a="1"/>
  <c r="F347" i="1" s="1"/>
  <c r="G347" i="1" a="1"/>
  <c r="G347" i="1"/>
  <c r="E348" i="1" a="1"/>
  <c r="E348" i="1" s="1"/>
  <c r="F348" i="1" a="1"/>
  <c r="F348" i="1" s="1"/>
  <c r="G348" i="1" a="1"/>
  <c r="G348" i="1" s="1"/>
  <c r="E349" i="1" a="1"/>
  <c r="E349" i="1" s="1"/>
  <c r="F349" i="1" a="1"/>
  <c r="F349" i="1"/>
  <c r="G349" i="1" a="1"/>
  <c r="G349" i="1" s="1"/>
  <c r="E350" i="1" a="1"/>
  <c r="E350" i="1" s="1"/>
  <c r="F350" i="1" a="1"/>
  <c r="F350" i="1"/>
  <c r="G350" i="1" a="1"/>
  <c r="G350" i="1"/>
  <c r="E351" i="1" a="1"/>
  <c r="E351" i="1" s="1"/>
  <c r="F351" i="1" a="1"/>
  <c r="F351" i="1" s="1"/>
  <c r="G351" i="1" a="1"/>
  <c r="G351" i="1"/>
  <c r="E352" i="1" a="1"/>
  <c r="E352" i="1" s="1"/>
  <c r="F352" i="1" a="1"/>
  <c r="F352" i="1"/>
  <c r="G352" i="1" a="1"/>
  <c r="G352" i="1" s="1"/>
  <c r="E353" i="1" a="1"/>
  <c r="E353" i="1" s="1"/>
  <c r="F353" i="1" a="1"/>
  <c r="F353" i="1"/>
  <c r="G353" i="1" a="1"/>
  <c r="G353" i="1"/>
  <c r="E354" i="1" a="1"/>
  <c r="E354" i="1" s="1"/>
  <c r="F354" i="1" a="1"/>
  <c r="F354" i="1" s="1"/>
  <c r="G354" i="1" a="1"/>
  <c r="G354" i="1"/>
  <c r="E355" i="1" a="1"/>
  <c r="E355" i="1" s="1"/>
  <c r="F355" i="1" a="1"/>
  <c r="F355" i="1" s="1"/>
  <c r="G355" i="1" a="1"/>
  <c r="G355" i="1" s="1"/>
  <c r="E356" i="1" a="1"/>
  <c r="E356" i="1" s="1"/>
  <c r="F356" i="1" a="1"/>
  <c r="F356" i="1"/>
  <c r="G356" i="1" a="1"/>
  <c r="G356" i="1" s="1"/>
  <c r="E357" i="1" a="1"/>
  <c r="E357" i="1" s="1"/>
  <c r="F357" i="1" a="1"/>
  <c r="F357" i="1" s="1"/>
  <c r="G357" i="1" a="1"/>
  <c r="G357" i="1"/>
  <c r="E358" i="1" a="1"/>
  <c r="E358" i="1" s="1"/>
  <c r="F358" i="1" a="1"/>
  <c r="F358" i="1"/>
  <c r="G358" i="1" a="1"/>
  <c r="G358" i="1" s="1"/>
  <c r="E359" i="1" a="1"/>
  <c r="E359" i="1" s="1"/>
  <c r="F359" i="1" a="1"/>
  <c r="F359" i="1" s="1"/>
  <c r="G359" i="1" a="1"/>
  <c r="G359" i="1" s="1"/>
  <c r="E360" i="1" a="1"/>
  <c r="E360" i="1"/>
  <c r="F360" i="1" a="1"/>
  <c r="F360" i="1" s="1"/>
  <c r="G360" i="1" a="1"/>
  <c r="G360" i="1" s="1"/>
  <c r="E361" i="1" a="1"/>
  <c r="E361" i="1"/>
  <c r="F361" i="1" a="1"/>
  <c r="F361" i="1"/>
  <c r="G361" i="1" a="1"/>
  <c r="G361" i="1" s="1"/>
  <c r="E362" i="1" a="1"/>
  <c r="E362" i="1" s="1"/>
  <c r="F362" i="1" a="1"/>
  <c r="F362" i="1"/>
  <c r="G362" i="1" a="1"/>
  <c r="G362" i="1" s="1"/>
  <c r="E363" i="1" a="1"/>
  <c r="E363" i="1"/>
  <c r="F363" i="1" a="1"/>
  <c r="F363" i="1" s="1"/>
  <c r="G363" i="1" a="1"/>
  <c r="G363" i="1" s="1"/>
  <c r="E364" i="1" a="1"/>
  <c r="E364" i="1"/>
  <c r="F364" i="1" a="1"/>
  <c r="F364" i="1"/>
  <c r="G364" i="1" a="1"/>
  <c r="G364" i="1" s="1"/>
  <c r="E365" i="1" a="1"/>
  <c r="E365" i="1"/>
  <c r="F365" i="1" a="1"/>
  <c r="F365" i="1"/>
  <c r="G365" i="1" a="1"/>
  <c r="G365" i="1" s="1"/>
  <c r="E366" i="1" a="1"/>
  <c r="E366" i="1" s="1"/>
  <c r="F366" i="1" a="1"/>
  <c r="F366" i="1" s="1"/>
  <c r="G366" i="1" a="1"/>
  <c r="G366" i="1" s="1"/>
  <c r="E367" i="1" a="1"/>
  <c r="E367" i="1"/>
  <c r="F367" i="1" a="1"/>
  <c r="F367" i="1" s="1"/>
  <c r="G367" i="1" a="1"/>
  <c r="G367" i="1"/>
  <c r="E368" i="1" a="1"/>
  <c r="E368" i="1"/>
  <c r="F368" i="1" a="1"/>
  <c r="F368" i="1"/>
  <c r="G368" i="1" a="1"/>
  <c r="G368" i="1" s="1"/>
  <c r="E369" i="1" a="1"/>
  <c r="E369" i="1"/>
  <c r="F369" i="1" a="1"/>
  <c r="F369" i="1" s="1"/>
  <c r="G369" i="1" a="1"/>
  <c r="G369" i="1" s="1"/>
  <c r="E370" i="1" a="1"/>
  <c r="E370" i="1" s="1"/>
  <c r="F370" i="1" a="1"/>
  <c r="F370" i="1" s="1"/>
  <c r="G370" i="1" a="1"/>
  <c r="G370" i="1"/>
  <c r="E371" i="1" a="1"/>
  <c r="E371" i="1"/>
  <c r="F371" i="1" a="1"/>
  <c r="F371" i="1" s="1"/>
  <c r="G371" i="1" a="1"/>
  <c r="G371" i="1"/>
  <c r="E372" i="1" a="1"/>
  <c r="E372" i="1"/>
  <c r="F372" i="1" a="1"/>
  <c r="F372" i="1" s="1"/>
  <c r="G372" i="1" a="1"/>
  <c r="G372" i="1" s="1"/>
  <c r="E373" i="1" a="1"/>
  <c r="E373" i="1"/>
  <c r="F373" i="1" a="1"/>
  <c r="F373" i="1" s="1"/>
  <c r="G373" i="1" a="1"/>
  <c r="G373" i="1"/>
  <c r="E374" i="1" a="1"/>
  <c r="E374" i="1" s="1"/>
  <c r="F374" i="1" a="1"/>
  <c r="F374" i="1" s="1"/>
  <c r="G374" i="1" a="1"/>
  <c r="G374" i="1"/>
  <c r="E375" i="1" a="1"/>
  <c r="E375" i="1"/>
  <c r="F375" i="1" a="1"/>
  <c r="F375" i="1" s="1"/>
  <c r="G375" i="1" a="1"/>
  <c r="G375" i="1"/>
  <c r="E376" i="1" a="1"/>
  <c r="E376" i="1"/>
  <c r="F376" i="1" a="1"/>
  <c r="F376" i="1" s="1"/>
  <c r="G376" i="1" a="1"/>
  <c r="G376" i="1" s="1"/>
  <c r="E377" i="1" a="1"/>
  <c r="E377" i="1" s="1"/>
  <c r="F377" i="1" a="1"/>
  <c r="F377" i="1" s="1"/>
  <c r="G377" i="1" a="1"/>
  <c r="G377" i="1"/>
  <c r="E378" i="1" a="1"/>
  <c r="E378" i="1" s="1"/>
  <c r="F378" i="1" a="1"/>
  <c r="F378" i="1"/>
  <c r="G378" i="1" a="1"/>
  <c r="G378" i="1"/>
  <c r="E379" i="1" a="1"/>
  <c r="E379" i="1"/>
  <c r="F379" i="1" a="1"/>
  <c r="F379" i="1" s="1"/>
  <c r="G379" i="1" a="1"/>
  <c r="G379" i="1"/>
  <c r="E380" i="1" a="1"/>
  <c r="E380" i="1" s="1"/>
  <c r="F380" i="1" a="1"/>
  <c r="F380" i="1" s="1"/>
  <c r="G380" i="1" a="1"/>
  <c r="G380" i="1" s="1"/>
  <c r="E381" i="1" a="1"/>
  <c r="E381" i="1" s="1"/>
  <c r="F381" i="1" a="1"/>
  <c r="F381" i="1"/>
  <c r="G381" i="1" a="1"/>
  <c r="G381" i="1"/>
  <c r="E382" i="1" a="1"/>
  <c r="E382" i="1" s="1"/>
  <c r="F382" i="1" a="1"/>
  <c r="F382" i="1"/>
  <c r="G382" i="1" a="1"/>
  <c r="G382" i="1"/>
  <c r="E383" i="1" a="1"/>
  <c r="E383" i="1" s="1"/>
  <c r="F383" i="1" a="1"/>
  <c r="F383" i="1" s="1"/>
  <c r="G383" i="1" a="1"/>
  <c r="G383" i="1"/>
  <c r="E384" i="1" a="1"/>
  <c r="E384" i="1" s="1"/>
  <c r="F384" i="1" a="1"/>
  <c r="F384" i="1"/>
  <c r="G384" i="1" a="1"/>
  <c r="G384" i="1" s="1"/>
  <c r="E385" i="1" a="1"/>
  <c r="E385" i="1" s="1"/>
  <c r="F385" i="1" a="1"/>
  <c r="F385" i="1"/>
  <c r="G385" i="1" a="1"/>
  <c r="G385" i="1"/>
  <c r="E386" i="1" a="1"/>
  <c r="E386" i="1" s="1"/>
  <c r="F386" i="1" a="1"/>
  <c r="F386" i="1"/>
  <c r="G386" i="1" a="1"/>
  <c r="G386" i="1"/>
  <c r="E387" i="1" a="1"/>
  <c r="E387" i="1" s="1"/>
  <c r="F387" i="1" a="1"/>
  <c r="F387" i="1" s="1"/>
  <c r="G387" i="1" a="1"/>
  <c r="G387" i="1" s="1"/>
  <c r="E388" i="1" a="1"/>
  <c r="E388" i="1" s="1"/>
  <c r="F388" i="1" a="1"/>
  <c r="F388" i="1"/>
  <c r="G388" i="1" a="1"/>
  <c r="G388" i="1" s="1"/>
  <c r="E389" i="1" a="1"/>
  <c r="E389" i="1"/>
  <c r="F389" i="1" a="1"/>
  <c r="F389" i="1"/>
  <c r="G389" i="1" a="1"/>
  <c r="G389" i="1"/>
  <c r="E390" i="1" a="1"/>
  <c r="E390" i="1" s="1"/>
  <c r="F390" i="1" a="1"/>
  <c r="F390" i="1"/>
  <c r="G390" i="1" a="1"/>
  <c r="G390" i="1" s="1"/>
  <c r="E391" i="1" a="1"/>
  <c r="E391" i="1" s="1"/>
  <c r="F391" i="1" a="1"/>
  <c r="F391" i="1" s="1"/>
  <c r="G391" i="1" a="1"/>
  <c r="G391" i="1" s="1"/>
  <c r="E392" i="1" a="1"/>
  <c r="E392" i="1"/>
  <c r="F392" i="1" a="1"/>
  <c r="F392" i="1"/>
  <c r="G392" i="1" a="1"/>
  <c r="G392" i="1" s="1"/>
  <c r="E393" i="1" a="1"/>
  <c r="E393" i="1"/>
  <c r="F393" i="1" a="1"/>
  <c r="F393" i="1"/>
  <c r="G393" i="1" a="1"/>
  <c r="G393" i="1" s="1"/>
  <c r="E394" i="1" a="1"/>
  <c r="E394" i="1" s="1"/>
  <c r="F394" i="1" a="1"/>
  <c r="F394" i="1"/>
  <c r="G394" i="1" a="1"/>
  <c r="G394" i="1" s="1"/>
  <c r="E395" i="1" a="1"/>
  <c r="E395" i="1"/>
  <c r="F395" i="1" a="1"/>
  <c r="F395" i="1" s="1"/>
  <c r="G395" i="1" a="1"/>
  <c r="G395" i="1" s="1"/>
  <c r="E396" i="1" a="1"/>
  <c r="E396" i="1"/>
  <c r="F396" i="1" a="1"/>
  <c r="F396" i="1"/>
  <c r="G396" i="1" a="1"/>
  <c r="G396" i="1" s="1"/>
  <c r="E397" i="1" a="1"/>
  <c r="E397" i="1"/>
  <c r="F397" i="1" a="1"/>
  <c r="F397" i="1"/>
  <c r="G397" i="1" a="1"/>
  <c r="G397" i="1" s="1"/>
  <c r="E398" i="1" a="1"/>
  <c r="E398" i="1" s="1"/>
  <c r="F398" i="1" a="1"/>
  <c r="F398" i="1" s="1"/>
  <c r="G398" i="1" a="1"/>
  <c r="G398" i="1" s="1"/>
  <c r="E399" i="1" a="1"/>
  <c r="E399" i="1"/>
  <c r="F399" i="1" a="1"/>
  <c r="F399" i="1" s="1"/>
  <c r="G399" i="1" a="1"/>
  <c r="G399" i="1"/>
  <c r="E400" i="1" a="1"/>
  <c r="E400" i="1"/>
  <c r="F400" i="1" a="1"/>
  <c r="F400" i="1"/>
  <c r="G400" i="1" a="1"/>
  <c r="G400" i="1" s="1"/>
  <c r="E401" i="1" a="1"/>
  <c r="E401" i="1"/>
  <c r="F401" i="1" a="1"/>
  <c r="F401" i="1" s="1"/>
  <c r="G401" i="1" a="1"/>
  <c r="G401" i="1" s="1"/>
  <c r="E402" i="1" a="1"/>
  <c r="E402" i="1" s="1"/>
  <c r="F402" i="1" a="1"/>
  <c r="F402" i="1" s="1"/>
  <c r="G402" i="1" a="1"/>
  <c r="G402" i="1"/>
  <c r="E403" i="1" a="1"/>
  <c r="E403" i="1"/>
  <c r="F403" i="1" a="1"/>
  <c r="F403" i="1" s="1"/>
  <c r="G403" i="1" a="1"/>
  <c r="G403" i="1"/>
  <c r="E404" i="1" a="1"/>
  <c r="E404" i="1"/>
  <c r="F404" i="1" a="1"/>
  <c r="F404" i="1" s="1"/>
  <c r="G404" i="1" a="1"/>
  <c r="G404" i="1" s="1"/>
  <c r="E405" i="1" a="1"/>
  <c r="E405" i="1"/>
  <c r="F405" i="1" a="1"/>
  <c r="F405" i="1" s="1"/>
  <c r="G405" i="1" a="1"/>
  <c r="G405" i="1"/>
  <c r="E406" i="1" a="1"/>
  <c r="E406" i="1" s="1"/>
  <c r="F406" i="1" a="1"/>
  <c r="F406" i="1" s="1"/>
  <c r="G406" i="1" a="1"/>
  <c r="G406" i="1"/>
  <c r="E407" i="1" a="1"/>
  <c r="E407" i="1"/>
  <c r="F407" i="1" a="1"/>
  <c r="F407" i="1" s="1"/>
  <c r="G407" i="1" a="1"/>
  <c r="G407" i="1"/>
  <c r="E408" i="1" a="1"/>
  <c r="E408" i="1"/>
  <c r="F408" i="1" a="1"/>
  <c r="F408" i="1" s="1"/>
  <c r="G408" i="1" a="1"/>
  <c r="G408" i="1" s="1"/>
  <c r="E409" i="1" a="1"/>
  <c r="E409" i="1" s="1"/>
  <c r="F409" i="1" a="1"/>
  <c r="F409" i="1" s="1"/>
  <c r="G409" i="1" a="1"/>
  <c r="G409" i="1"/>
  <c r="E410" i="1" a="1"/>
  <c r="E410" i="1" s="1"/>
  <c r="F410" i="1" a="1"/>
  <c r="F410" i="1"/>
  <c r="G410" i="1" a="1"/>
  <c r="G410" i="1"/>
  <c r="E411" i="1" a="1"/>
  <c r="E411" i="1"/>
  <c r="F411" i="1" a="1"/>
  <c r="F411" i="1" s="1"/>
  <c r="G411" i="1" a="1"/>
  <c r="G411" i="1"/>
  <c r="E412" i="1" a="1"/>
  <c r="E412" i="1" s="1"/>
  <c r="F412" i="1" a="1"/>
  <c r="F412" i="1" s="1"/>
  <c r="G412" i="1" a="1"/>
  <c r="G412" i="1" s="1"/>
  <c r="E413" i="1" a="1"/>
  <c r="E413" i="1" s="1"/>
  <c r="F413" i="1" a="1"/>
  <c r="F413" i="1"/>
  <c r="G413" i="1" a="1"/>
  <c r="G413" i="1"/>
  <c r="E414" i="1" a="1"/>
  <c r="E414" i="1" s="1"/>
  <c r="F414" i="1" a="1"/>
  <c r="F414" i="1"/>
  <c r="G414" i="1" a="1"/>
  <c r="G414" i="1"/>
  <c r="E415" i="1" a="1"/>
  <c r="E415" i="1" s="1"/>
  <c r="F415" i="1" a="1"/>
  <c r="F415" i="1" s="1"/>
  <c r="G415" i="1" a="1"/>
  <c r="G415" i="1"/>
  <c r="E416" i="1" a="1"/>
  <c r="E416" i="1" s="1"/>
  <c r="F416" i="1" a="1"/>
  <c r="F416" i="1"/>
  <c r="G416" i="1" a="1"/>
  <c r="G416" i="1" s="1"/>
  <c r="E417" i="1" a="1"/>
  <c r="E417" i="1" s="1"/>
  <c r="F417" i="1" a="1"/>
  <c r="F417" i="1"/>
  <c r="G417" i="1" a="1"/>
  <c r="G417" i="1"/>
  <c r="E418" i="1" a="1"/>
  <c r="E418" i="1" s="1"/>
  <c r="F418" i="1" a="1"/>
  <c r="F418" i="1"/>
  <c r="G418" i="1" a="1"/>
  <c r="G418" i="1"/>
  <c r="E419" i="1" a="1"/>
  <c r="E419" i="1" s="1"/>
  <c r="F419" i="1" a="1"/>
  <c r="F419" i="1" s="1"/>
  <c r="G419" i="1" a="1"/>
  <c r="G419" i="1" s="1"/>
  <c r="E420" i="1" a="1"/>
  <c r="E420" i="1" s="1"/>
  <c r="F420" i="1" a="1"/>
  <c r="F420" i="1"/>
  <c r="G420" i="1" a="1"/>
  <c r="G420" i="1" s="1"/>
  <c r="E421" i="1" a="1"/>
  <c r="E421" i="1"/>
  <c r="F421" i="1" a="1"/>
  <c r="F421" i="1"/>
  <c r="G421" i="1" a="1"/>
  <c r="G421" i="1"/>
  <c r="E422" i="1" a="1"/>
  <c r="E422" i="1" s="1"/>
  <c r="F422" i="1" a="1"/>
  <c r="F422" i="1"/>
  <c r="G422" i="1" a="1"/>
  <c r="G422" i="1" s="1"/>
  <c r="E423" i="1" a="1"/>
  <c r="E423" i="1" s="1"/>
  <c r="F423" i="1" a="1"/>
  <c r="F423" i="1" s="1"/>
  <c r="G423" i="1" a="1"/>
  <c r="G423" i="1" s="1"/>
  <c r="E424" i="1" a="1"/>
  <c r="E424" i="1"/>
  <c r="F424" i="1" a="1"/>
  <c r="F424" i="1"/>
  <c r="G424" i="1" a="1"/>
  <c r="G424" i="1" s="1"/>
  <c r="E425" i="1" a="1"/>
  <c r="E425" i="1"/>
  <c r="F425" i="1" a="1"/>
  <c r="F425" i="1"/>
  <c r="G425" i="1" a="1"/>
  <c r="G425" i="1" s="1"/>
  <c r="E426" i="1" a="1"/>
  <c r="E426" i="1" s="1"/>
  <c r="F426" i="1" a="1"/>
  <c r="F426" i="1"/>
  <c r="G426" i="1" a="1"/>
  <c r="G426" i="1" s="1"/>
  <c r="E427" i="1" a="1"/>
  <c r="E427" i="1"/>
  <c r="F427" i="1" a="1"/>
  <c r="F427" i="1" s="1"/>
  <c r="G427" i="1" a="1"/>
  <c r="G427" i="1" s="1"/>
  <c r="E428" i="1" a="1"/>
  <c r="E428" i="1"/>
  <c r="F428" i="1" a="1"/>
  <c r="F428" i="1"/>
  <c r="G428" i="1" a="1"/>
  <c r="G428" i="1" s="1"/>
  <c r="E429" i="1" a="1"/>
  <c r="E429" i="1"/>
  <c r="F429" i="1" a="1"/>
  <c r="F429" i="1"/>
  <c r="G429" i="1" a="1"/>
  <c r="G429" i="1" s="1"/>
  <c r="E430" i="1" a="1"/>
  <c r="E430" i="1" s="1"/>
  <c r="F430" i="1" a="1"/>
  <c r="F430" i="1" s="1"/>
  <c r="G430" i="1" a="1"/>
  <c r="G430" i="1" s="1"/>
  <c r="E431" i="1" a="1"/>
  <c r="E431" i="1"/>
  <c r="F431" i="1" a="1"/>
  <c r="F431" i="1" s="1"/>
  <c r="G431" i="1" a="1"/>
  <c r="G431" i="1"/>
  <c r="E432" i="1" a="1"/>
  <c r="E432" i="1"/>
  <c r="F432" i="1" a="1"/>
  <c r="F432" i="1"/>
  <c r="G432" i="1" a="1"/>
  <c r="G432" i="1" s="1"/>
  <c r="E433" i="1" a="1"/>
  <c r="E433" i="1"/>
  <c r="F433" i="1" a="1"/>
  <c r="F433" i="1" s="1"/>
  <c r="G433" i="1" a="1"/>
  <c r="G433" i="1" s="1"/>
  <c r="E434" i="1" a="1"/>
  <c r="E434" i="1" s="1"/>
  <c r="F434" i="1" a="1"/>
  <c r="F434" i="1" s="1"/>
  <c r="G434" i="1" a="1"/>
  <c r="G434" i="1"/>
  <c r="E435" i="1" a="1"/>
  <c r="E435" i="1"/>
  <c r="F435" i="1" a="1"/>
  <c r="F435" i="1" s="1"/>
  <c r="G435" i="1" a="1"/>
  <c r="G435" i="1"/>
  <c r="E436" i="1" a="1"/>
  <c r="E436" i="1"/>
  <c r="F436" i="1" a="1"/>
  <c r="F436" i="1" s="1"/>
  <c r="G436" i="1" a="1"/>
  <c r="G436" i="1" s="1"/>
  <c r="E437" i="1" a="1"/>
  <c r="E437" i="1"/>
  <c r="F437" i="1" a="1"/>
  <c r="F437" i="1" s="1"/>
  <c r="G437" i="1" a="1"/>
  <c r="G437" i="1"/>
  <c r="E438" i="1" a="1"/>
  <c r="E438" i="1" s="1"/>
  <c r="F438" i="1" a="1"/>
  <c r="F438" i="1" s="1"/>
  <c r="G438" i="1" a="1"/>
  <c r="G438" i="1"/>
  <c r="E439" i="1" a="1"/>
  <c r="E439" i="1"/>
  <c r="F439" i="1" a="1"/>
  <c r="F439" i="1" s="1"/>
  <c r="G439" i="1" a="1"/>
  <c r="G439" i="1"/>
  <c r="E440" i="1" a="1"/>
  <c r="E440" i="1"/>
  <c r="F440" i="1" a="1"/>
  <c r="F440" i="1" s="1"/>
  <c r="G440" i="1" a="1"/>
  <c r="G440" i="1" s="1"/>
  <c r="E441" i="1" a="1"/>
  <c r="E441" i="1" s="1"/>
  <c r="F441" i="1" a="1"/>
  <c r="F441" i="1" s="1"/>
  <c r="G441" i="1" a="1"/>
  <c r="G441" i="1"/>
  <c r="E442" i="1" a="1"/>
  <c r="E442" i="1" s="1"/>
  <c r="F442" i="1" a="1"/>
  <c r="F442" i="1"/>
  <c r="G442" i="1" a="1"/>
  <c r="G442" i="1"/>
  <c r="E443" i="1" a="1"/>
  <c r="E443" i="1"/>
  <c r="F443" i="1" a="1"/>
  <c r="F443" i="1" s="1"/>
  <c r="G443" i="1" a="1"/>
  <c r="G443" i="1"/>
  <c r="E444" i="1" a="1"/>
  <c r="E444" i="1" s="1"/>
  <c r="F444" i="1" a="1"/>
  <c r="F444" i="1" s="1"/>
  <c r="G444" i="1" a="1"/>
  <c r="G444" i="1" s="1"/>
  <c r="E445" i="1" a="1"/>
  <c r="E445" i="1" s="1"/>
  <c r="F445" i="1" a="1"/>
  <c r="F445" i="1"/>
  <c r="G445" i="1" a="1"/>
  <c r="G445" i="1"/>
  <c r="E446" i="1" a="1"/>
  <c r="E446" i="1" s="1"/>
  <c r="F446" i="1" a="1"/>
  <c r="F446" i="1"/>
  <c r="G446" i="1" a="1"/>
  <c r="G446" i="1"/>
  <c r="E447" i="1" a="1"/>
  <c r="E447" i="1" s="1"/>
  <c r="F447" i="1" a="1"/>
  <c r="F447" i="1" s="1"/>
  <c r="G447" i="1" a="1"/>
  <c r="G447" i="1"/>
  <c r="E448" i="1" a="1"/>
  <c r="E448" i="1" s="1"/>
  <c r="F448" i="1" a="1"/>
  <c r="F448" i="1"/>
  <c r="G448" i="1" a="1"/>
  <c r="G448" i="1" s="1"/>
  <c r="E449" i="1" a="1"/>
  <c r="E449" i="1" s="1"/>
  <c r="F449" i="1" a="1"/>
  <c r="F449" i="1"/>
  <c r="G449" i="1" a="1"/>
  <c r="G449" i="1"/>
  <c r="E450" i="1" a="1"/>
  <c r="E450" i="1" s="1"/>
  <c r="F450" i="1" a="1"/>
  <c r="F450" i="1"/>
  <c r="G450" i="1" a="1"/>
  <c r="G450" i="1"/>
  <c r="E451" i="1" a="1"/>
  <c r="E451" i="1" s="1"/>
  <c r="F451" i="1" a="1"/>
  <c r="F451" i="1" s="1"/>
  <c r="G451" i="1" a="1"/>
  <c r="G451" i="1" s="1"/>
  <c r="E452" i="1" a="1"/>
  <c r="E452" i="1" s="1"/>
  <c r="F452" i="1" a="1"/>
  <c r="F452" i="1"/>
  <c r="G452" i="1" a="1"/>
  <c r="G452" i="1" s="1"/>
  <c r="E453" i="1" a="1"/>
  <c r="E453" i="1"/>
  <c r="F453" i="1" a="1"/>
  <c r="F453" i="1"/>
  <c r="G453" i="1" a="1"/>
  <c r="G453" i="1"/>
  <c r="E454" i="1" a="1"/>
  <c r="E454" i="1" s="1"/>
  <c r="F454" i="1" a="1"/>
  <c r="F454" i="1"/>
  <c r="G454" i="1" a="1"/>
  <c r="G454" i="1" s="1"/>
  <c r="E455" i="1" a="1"/>
  <c r="E455" i="1" s="1"/>
  <c r="F455" i="1" a="1"/>
  <c r="F455" i="1" s="1"/>
  <c r="G455" i="1" a="1"/>
  <c r="G455" i="1" s="1"/>
  <c r="E456" i="1" a="1"/>
  <c r="E456" i="1"/>
  <c r="F456" i="1" a="1"/>
  <c r="F456" i="1"/>
  <c r="G456" i="1" a="1"/>
  <c r="G456" i="1" s="1"/>
  <c r="E457" i="1" a="1"/>
  <c r="E457" i="1"/>
  <c r="F457" i="1" a="1"/>
  <c r="F457" i="1"/>
  <c r="G457" i="1" a="1"/>
  <c r="G457" i="1" s="1"/>
  <c r="E458" i="1" a="1"/>
  <c r="E458" i="1" s="1"/>
  <c r="F458" i="1" a="1"/>
  <c r="F458" i="1"/>
  <c r="G458" i="1" a="1"/>
  <c r="G458" i="1" s="1"/>
  <c r="E459" i="1" a="1"/>
  <c r="E459" i="1"/>
  <c r="F459" i="1" a="1"/>
  <c r="F459" i="1" s="1"/>
  <c r="G459" i="1" a="1"/>
  <c r="G459" i="1" s="1"/>
  <c r="E460" i="1" a="1"/>
  <c r="E460" i="1"/>
  <c r="F460" i="1" a="1"/>
  <c r="F460" i="1"/>
  <c r="G460" i="1" a="1"/>
  <c r="G460" i="1" s="1"/>
  <c r="E461" i="1" a="1"/>
  <c r="E461" i="1"/>
  <c r="F461" i="1" a="1"/>
  <c r="F461" i="1"/>
  <c r="G461" i="1" a="1"/>
  <c r="G461" i="1" s="1"/>
  <c r="E462" i="1" a="1"/>
  <c r="E462" i="1" s="1"/>
  <c r="F462" i="1" a="1"/>
  <c r="F462" i="1" s="1"/>
  <c r="G462" i="1" a="1"/>
  <c r="G462" i="1" s="1"/>
  <c r="E463" i="1" a="1"/>
  <c r="E463" i="1"/>
  <c r="F463" i="1" a="1"/>
  <c r="F463" i="1" s="1"/>
  <c r="G463" i="1" a="1"/>
  <c r="G463" i="1"/>
  <c r="E464" i="1" a="1"/>
  <c r="E464" i="1"/>
  <c r="F464" i="1" a="1"/>
  <c r="F464" i="1"/>
  <c r="G464" i="1" a="1"/>
  <c r="G464" i="1" s="1"/>
  <c r="E465" i="1" a="1"/>
  <c r="E465" i="1"/>
  <c r="F465" i="1" a="1"/>
  <c r="F465" i="1" s="1"/>
  <c r="G465" i="1" a="1"/>
  <c r="G465" i="1" s="1"/>
  <c r="E466" i="1" a="1"/>
  <c r="E466" i="1" s="1"/>
  <c r="F466" i="1" a="1"/>
  <c r="F466" i="1" s="1"/>
  <c r="G466" i="1" a="1"/>
  <c r="G466" i="1"/>
  <c r="E467" i="1" a="1"/>
  <c r="E467" i="1"/>
  <c r="F467" i="1" a="1"/>
  <c r="F467" i="1" s="1"/>
  <c r="G467" i="1" a="1"/>
  <c r="G467" i="1"/>
  <c r="E468" i="1" a="1"/>
  <c r="E468" i="1"/>
  <c r="F468" i="1" a="1"/>
  <c r="F468" i="1" s="1"/>
  <c r="G468" i="1" a="1"/>
  <c r="G468" i="1" s="1"/>
  <c r="E469" i="1" a="1"/>
  <c r="E469" i="1"/>
  <c r="F469" i="1" a="1"/>
  <c r="F469" i="1" s="1"/>
  <c r="G469" i="1" a="1"/>
  <c r="G469" i="1"/>
  <c r="E470" i="1" a="1"/>
  <c r="E470" i="1" s="1"/>
  <c r="F470" i="1" a="1"/>
  <c r="F470" i="1" s="1"/>
  <c r="G470" i="1" a="1"/>
  <c r="G470" i="1"/>
  <c r="E471" i="1" a="1"/>
  <c r="E471" i="1"/>
  <c r="F471" i="1" a="1"/>
  <c r="F471" i="1" s="1"/>
  <c r="G471" i="1" a="1"/>
  <c r="G471" i="1"/>
  <c r="E472" i="1" a="1"/>
  <c r="E472" i="1"/>
  <c r="F472" i="1" a="1"/>
  <c r="F472" i="1" s="1"/>
  <c r="G472" i="1" a="1"/>
  <c r="G472" i="1" s="1"/>
  <c r="E473" i="1" a="1"/>
  <c r="E473" i="1" s="1"/>
  <c r="F473" i="1" a="1"/>
  <c r="F473" i="1" s="1"/>
  <c r="G473" i="1" a="1"/>
  <c r="G473" i="1"/>
  <c r="E474" i="1" a="1"/>
  <c r="E474" i="1" s="1"/>
  <c r="F474" i="1" a="1"/>
  <c r="F474" i="1"/>
  <c r="G474" i="1" a="1"/>
  <c r="G474" i="1"/>
  <c r="E475" i="1" a="1"/>
  <c r="E475" i="1"/>
  <c r="F475" i="1" a="1"/>
  <c r="F475" i="1" s="1"/>
  <c r="G475" i="1" a="1"/>
  <c r="G475" i="1"/>
  <c r="E476" i="1" a="1"/>
  <c r="E476" i="1" s="1"/>
  <c r="F476" i="1" a="1"/>
  <c r="F476" i="1" s="1"/>
  <c r="G476" i="1" a="1"/>
  <c r="G476" i="1" s="1"/>
  <c r="E477" i="1" a="1"/>
  <c r="E477" i="1" s="1"/>
  <c r="F477" i="1" a="1"/>
  <c r="F477" i="1"/>
  <c r="G477" i="1" a="1"/>
  <c r="G477" i="1"/>
  <c r="E478" i="1" a="1"/>
  <c r="E478" i="1" s="1"/>
  <c r="F478" i="1" a="1"/>
  <c r="F478" i="1"/>
  <c r="G478" i="1" a="1"/>
  <c r="G478" i="1"/>
  <c r="E479" i="1" a="1"/>
  <c r="E479" i="1" s="1"/>
  <c r="F479" i="1" a="1"/>
  <c r="F479" i="1" s="1"/>
  <c r="G479" i="1" a="1"/>
  <c r="G479" i="1"/>
  <c r="E480" i="1" a="1"/>
  <c r="E480" i="1" s="1"/>
  <c r="F480" i="1" a="1"/>
  <c r="F480" i="1"/>
  <c r="G480" i="1" a="1"/>
  <c r="G480" i="1" s="1"/>
  <c r="E481" i="1" a="1"/>
  <c r="E481" i="1" s="1"/>
  <c r="F481" i="1" a="1"/>
  <c r="F481" i="1"/>
  <c r="G481" i="1" a="1"/>
  <c r="G481" i="1"/>
  <c r="E482" i="1" a="1"/>
  <c r="E482" i="1" s="1"/>
  <c r="F482" i="1" a="1"/>
  <c r="F482" i="1"/>
  <c r="G482" i="1" a="1"/>
  <c r="G482" i="1"/>
  <c r="E483" i="1" a="1"/>
  <c r="E483" i="1" s="1"/>
  <c r="F483" i="1" a="1"/>
  <c r="F483" i="1" s="1"/>
  <c r="G483" i="1" a="1"/>
  <c r="G483" i="1" s="1"/>
  <c r="E484" i="1" a="1"/>
  <c r="E484" i="1" s="1"/>
  <c r="F484" i="1" a="1"/>
  <c r="F484" i="1"/>
  <c r="G484" i="1" a="1"/>
  <c r="G484" i="1"/>
  <c r="E485" i="1" a="1"/>
  <c r="E485" i="1" s="1"/>
  <c r="F485" i="1" a="1"/>
  <c r="F485" i="1" s="1"/>
  <c r="G485" i="1" a="1"/>
  <c r="G485" i="1"/>
  <c r="E486" i="1" a="1"/>
  <c r="E486" i="1"/>
  <c r="F486" i="1" a="1"/>
  <c r="F486" i="1" s="1"/>
  <c r="G486" i="1" a="1"/>
  <c r="G486" i="1" s="1"/>
  <c r="E487" i="1" a="1"/>
  <c r="E487" i="1"/>
  <c r="F487" i="1" a="1"/>
  <c r="F487" i="1"/>
  <c r="G487" i="1" a="1"/>
  <c r="G487" i="1" s="1"/>
  <c r="E488" i="1" a="1"/>
  <c r="E488" i="1" s="1"/>
  <c r="F488" i="1" a="1"/>
  <c r="F488" i="1"/>
  <c r="G488" i="1" a="1"/>
  <c r="G488" i="1" s="1"/>
  <c r="E489" i="1" a="1"/>
  <c r="E489" i="1" s="1"/>
  <c r="F489" i="1" a="1"/>
  <c r="F489" i="1" s="1"/>
  <c r="G489" i="1" a="1"/>
  <c r="G489" i="1"/>
  <c r="E490" i="1" a="1"/>
  <c r="E490" i="1" s="1"/>
  <c r="F490" i="1" a="1"/>
  <c r="F490" i="1" s="1"/>
  <c r="G490" i="1" a="1"/>
  <c r="G490" i="1" s="1"/>
  <c r="E491" i="1" a="1"/>
  <c r="E491" i="1"/>
  <c r="F491" i="1" a="1"/>
  <c r="F491" i="1" s="1"/>
  <c r="G491" i="1" a="1"/>
  <c r="G491" i="1" s="1"/>
  <c r="E492" i="1" a="1"/>
  <c r="E492" i="1" s="1"/>
  <c r="F492" i="1" a="1"/>
  <c r="F492" i="1"/>
  <c r="G492" i="1" a="1"/>
  <c r="G492" i="1" s="1"/>
  <c r="E493" i="1" a="1"/>
  <c r="E493" i="1" s="1"/>
  <c r="F493" i="1" a="1"/>
  <c r="F493" i="1" s="1"/>
  <c r="G493" i="1" a="1"/>
  <c r="G493" i="1"/>
  <c r="E494" i="1" a="1"/>
  <c r="E494" i="1" s="1"/>
  <c r="F494" i="1" a="1"/>
  <c r="F494" i="1" s="1"/>
  <c r="G494" i="1" a="1"/>
  <c r="G494" i="1" s="1"/>
  <c r="E495" i="1" a="1"/>
  <c r="E495" i="1"/>
  <c r="F495" i="1" a="1"/>
  <c r="F495" i="1" s="1"/>
  <c r="G495" i="1" a="1"/>
  <c r="G495" i="1" s="1"/>
  <c r="E496" i="1" a="1"/>
  <c r="E496" i="1" s="1"/>
  <c r="F496" i="1" a="1"/>
  <c r="F496" i="1"/>
  <c r="G496" i="1" a="1"/>
  <c r="G496" i="1" s="1"/>
  <c r="E497" i="1" a="1"/>
  <c r="E497" i="1" s="1"/>
  <c r="F497" i="1" a="1"/>
  <c r="F497" i="1" s="1"/>
  <c r="G497" i="1" a="1"/>
  <c r="G497" i="1"/>
  <c r="E498" i="1" a="1"/>
  <c r="E498" i="1" s="1"/>
  <c r="F498" i="1" a="1"/>
  <c r="F498" i="1" s="1"/>
  <c r="G498" i="1" a="1"/>
  <c r="G498" i="1" s="1"/>
  <c r="E499" i="1" a="1"/>
  <c r="E499" i="1"/>
  <c r="F499" i="1" a="1"/>
  <c r="F499" i="1" s="1"/>
  <c r="G499" i="1" a="1"/>
  <c r="G499" i="1" s="1"/>
  <c r="E500" i="1" a="1"/>
  <c r="E500" i="1" s="1"/>
  <c r="F500" i="1" a="1"/>
  <c r="F500" i="1"/>
  <c r="G500" i="1" a="1"/>
  <c r="G500" i="1" s="1"/>
  <c r="E501" i="1" a="1"/>
  <c r="E501" i="1" s="1"/>
  <c r="F501" i="1" a="1"/>
  <c r="F501" i="1" s="1"/>
  <c r="G501" i="1" a="1"/>
  <c r="G501" i="1"/>
  <c r="E502" i="1" a="1"/>
  <c r="E502" i="1" s="1"/>
  <c r="F502" i="1" a="1"/>
  <c r="F502" i="1" s="1"/>
  <c r="G502" i="1" a="1"/>
  <c r="G502" i="1" s="1"/>
  <c r="E503" i="1" a="1"/>
  <c r="E503" i="1"/>
  <c r="F503" i="1" a="1"/>
  <c r="F503" i="1" s="1"/>
  <c r="G503" i="1" a="1"/>
  <c r="G503" i="1" s="1"/>
  <c r="E504" i="1" a="1"/>
  <c r="E504" i="1" s="1"/>
  <c r="F504" i="1" a="1"/>
  <c r="F504" i="1"/>
  <c r="G504" i="1" a="1"/>
  <c r="G504" i="1" s="1"/>
  <c r="E505" i="1" a="1"/>
  <c r="E505" i="1" s="1"/>
  <c r="F505" i="1" a="1"/>
  <c r="F505" i="1" s="1"/>
  <c r="G505" i="1" a="1"/>
  <c r="G505" i="1"/>
  <c r="G2" i="1" a="1"/>
  <c r="G2" i="1" s="1"/>
  <c r="F2" i="1" a="1"/>
  <c r="F2" i="1" s="1"/>
  <c r="E2" i="1" a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<sst xmlns="http://schemas.openxmlformats.org/spreadsheetml/2006/main" count="1085" uniqueCount="49">
  <si>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</si>
  <si>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</si>
  <si>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</si>
  <si>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</si>
  <si>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</si>
  <si>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</si>
  <si>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</si>
  <si>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</si>
  <si>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</si>
  <si>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</si>
  <si>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</si>
  <si>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</si>
  <si>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</si>
  <si>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</si>
  <si>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</si>
  <si>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</si>
  <si>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</si>
  <si>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</si>
  <si>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</si>
  <si>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</si>
  <si>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</si>
  <si>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</si>
  <si>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</si>
  <si>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</si>
  <si>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</si>
  <si>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</si>
  <si>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</si>
  <si>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Grand Total</t>
  </si>
  <si>
    <t>Топ-3 территорий по товарообороту на склад за последнюю неделю.</t>
  </si>
  <si>
    <t>Рабочие склады в неделю</t>
  </si>
  <si>
    <t>Рабочие склады на территорию</t>
  </si>
  <si>
    <t>Товарооборот на склад на терр. по нед. (сред.)</t>
  </si>
  <si>
    <t>Товарооборот на склад на терр. (сред.)</t>
  </si>
  <si>
    <t>Прим.: добавленные колонки необходимы чтобы расчитывать</t>
  </si>
  <si>
    <t>товарооборот на склад в разрезе территорий и недель. Так как в опредленные</t>
  </si>
  <si>
    <t>недели функционируют не все склады (разное количество), просто суммировать</t>
  </si>
  <si>
    <t>товарооборот/кол. складов будет неверно. Поэтому, за определенные недели</t>
  </si>
  <si>
    <t>и территории было взято среднее количество рабочих складов чтобы получить</t>
  </si>
  <si>
    <t>аггрегатную величину товарооборот/кол. складов по территориям и неделям.</t>
  </si>
  <si>
    <t>Топ 3 по доле в общем товарообороте, руб. (доли считать необязательно).</t>
  </si>
  <si>
    <t>Общий товарооборот, руб</t>
  </si>
  <si>
    <t>Территории</t>
  </si>
  <si>
    <t>Недели</t>
  </si>
  <si>
    <t>Общий товарооборот на склад, руб (сред.)</t>
  </si>
  <si>
    <t>Общий товарооборот, руб.</t>
  </si>
  <si>
    <t>Общий товарооборот на склад (сред.)</t>
  </si>
  <si>
    <t>Считаем весь товарооборот в рублях</t>
  </si>
  <si>
    <t>чтоб видеть полностью выручку и эффективность</t>
  </si>
  <si>
    <t>складов по территориям и неделям.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</si>
</sst>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theme="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4" borderId="0" xfId="0" applyFill="1" applyAlignment="1">
      <alignment horizontal="left"/>
    </xf>
    <xf numFmtId="0" fontId="2" fillId="5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6">
    <dxf>
      <fill>
        <patternFill patternType="solid">
          <bgColor rgb="FF92D050"/>
        </patternFill>
      </fill>
    </dxf>
    <dxf>
      <numFmt numFmtId="165" formatCode="0.0"/>
    </dxf>
    <dxf>
      <numFmt numFmtId="165" formatCode="0.0"/>
    </dxf>
    <dxf>
      <fill>
        <patternFill patternType="solid">
          <bgColor rgb="FF92D050"/>
        </patternFill>
      </fill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[Final_Project_Excel_1_extended.xlsx]Сводные таблицы!PivotTable3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latin typeface="Arial" panose="020B0604020202020204" pitchFamily="34" charset="0"/>
                <a:cs typeface="Arial" panose="020B0604020202020204" pitchFamily="34" charset="0"/>
              </a:rPr>
              <a:t>Общий товарооборот</a:t>
            </a:r>
            <a:r>
              <a:rPr lang="ru-RU" sz="1200" baseline="0">
                <a:latin typeface="Arial" panose="020B0604020202020204" pitchFamily="34" charset="0"/>
                <a:cs typeface="Arial" panose="020B0604020202020204" pitchFamily="34" charset="0"/>
              </a:rPr>
              <a:t> и товарооброт на склад по всем территориям</a:t>
            </a:r>
            <a:endParaRPr lang="en-US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  <a:alpha val="66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 w="15875">
              <a:solidFill>
                <a:schemeClr val="accent2">
                  <a:lumMod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KZ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'Сводные таблицы'!$B$51</c:f>
              <c:strCache>
                <c:ptCount val="1"/>
                <c:pt idx="0">
                  <c:v>Общий товарооборот, руб.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40000"/>
                  <a:lumOff val="60000"/>
                  <a:alpha val="66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'Сводные таблицы'!$A$52:$A$58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'Сводные таблицы'!$B$52:$B$58</c:f>
              <c:numCache>
                <c:formatCode>0.0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A-4931-8028-CB2C123B71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366210816"/>
        <c:axId val="1366211296"/>
      </c:barChart>
      <c:lineChart>
        <c:grouping val="standard"/>
        <c:varyColors val="0"/>
        <c:ser>
          <c:idx val="1"/>
          <c:order val="1"/>
          <c:tx>
            <c:strRef>
              <c:f>'Сводные таблицы'!$C$51</c:f>
              <c:strCache>
                <c:ptCount val="1"/>
                <c:pt idx="0">
                  <c:v>Общий товарооборот на склад (сред.)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 w="15875">
                <a:solidFill>
                  <a:schemeClr val="accent2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KZ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'Сводные таблицы'!$A$52:$A$58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'Сводные таблицы'!$C$52:$C$58</c:f>
              <c:numCache>
                <c:formatCode>0.0</c:formatCode>
                <c:ptCount val="6"/>
                <c:pt idx="0">
                  <c:v>14794660.920088444</c:v>
                </c:pt>
                <c:pt idx="1">
                  <c:v>17699472.817198884</c:v>
                </c:pt>
                <c:pt idx="2">
                  <c:v>17488438.904467873</c:v>
                </c:pt>
                <c:pt idx="3">
                  <c:v>18879559.590979502</c:v>
                </c:pt>
                <c:pt idx="4">
                  <c:v>20709707.932458054</c:v>
                </c:pt>
                <c:pt idx="5">
                  <c:v>2840780.3389954981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2F-45C7-BA84-FE3DB9E1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120575"/>
        <c:axId val="811120095"/>
      </c:lineChart>
      <c:catAx>
        <c:axId val="136621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>
                    <a:latin typeface="Arial" panose="020B0604020202020204" pitchFamily="34" charset="0"/>
                    <a:cs typeface="Arial" panose="020B0604020202020204" pitchFamily="34" charset="0"/>
                  </a:rPr>
                  <a:t>Недели</a:t>
                </a:r>
                <a:endParaRPr lang="ru-RU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KZ"/>
          </a:p>
        </c:txPr>
        <c:crossAx val="1366211296"/>
        <c:crosses val="autoZero"/>
        <c:auto val="1"/>
        <c:lblAlgn val="ctr"/>
        <c:lblOffset val="100"/>
        <c:noMultiLvlLbl val="0"/>
      </c:catAx>
      <c:valAx>
        <c:axId val="13662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>
                    <a:latin typeface="Arial" panose="020B0604020202020204" pitchFamily="34" charset="0"/>
                    <a:cs typeface="Arial" panose="020B0604020202020204" pitchFamily="34" charset="0"/>
                  </a:rPr>
                  <a:t>Товарооброт, руб</a:t>
                </a:r>
                <a:r>
                  <a:rPr lang="ru-RU" sz="1000" baseline="0">
                    <a:latin typeface="Arial" panose="020B0604020202020204" pitchFamily="34" charset="0"/>
                    <a:cs typeface="Arial" panose="020B0604020202020204" pitchFamily="34" charset="0"/>
                  </a:rPr>
                  <a:t>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KZ"/>
          </a:p>
        </c:txPr>
        <c:crossAx val="136621081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6.4484990569646142E-2"/>
                <c:y val="0.15586933844807863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ru-RU" sz="1000">
                      <a:latin typeface="Arial" panose="020B0604020202020204" pitchFamily="34" charset="0"/>
                      <a:cs typeface="Arial" panose="020B0604020202020204" pitchFamily="34" charset="0"/>
                    </a:rPr>
                    <a:t>Млн.</a:t>
                  </a:r>
                  <a:endParaRPr lang="en-US" sz="10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8111200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Общий товарооброт на склад,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KZ"/>
          </a:p>
        </c:txPr>
        <c:crossAx val="811120575"/>
        <c:crosses val="max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94660804020100497"/>
                <c:y val="0.148699862036476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ru-RU" sz="1000">
                      <a:latin typeface="Arial" panose="020B0604020202020204" pitchFamily="34" charset="0"/>
                      <a:cs typeface="Arial" panose="020B0604020202020204" pitchFamily="34" charset="0"/>
                    </a:rPr>
                    <a:t>Млн.</a:t>
                  </a:r>
                  <a:endParaRPr lang="en-US" sz="10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catAx>
        <c:axId val="81112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1120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3</xdr:col>
      <xdr:colOff>0</xdr:colOff>
      <xdr:row>87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56EC70-ABEC-2D02-36A4-AA94572DF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senkhan Dildabek" refreshedDate="45903.369451388891" createdVersion="8" refreshedVersion="8" minRefreshableVersion="3" recordCount="504" xr:uid="{AB07CCC0-A9F8-4F3C-B413-1630281B4B36}">
  <cacheSource type="worksheet">
    <worksheetSource ref="A1:M505" sheet="Лист1"/>
  </cacheSource>
  <cacheFields count="13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Рабочие склады в неделю" numFmtId="0">
      <sharedItems containsSemiMixedTypes="0" containsString="0" containsNumber="1" minValue="6" maxValue="129"/>
    </cacheField>
    <cacheField name="Товарооборот на склад на терр. по нед. (сред.)" numFmtId="0">
      <sharedItems containsSemiMixedTypes="0" containsString="0" containsNumber="1" minValue="26979.4" maxValue="496419"/>
    </cacheField>
    <cacheField name="Рабочие склады на территорию" numFmtId="0">
      <sharedItems containsSemiMixedTypes="0" containsString="0" containsNumber="1" minValue="6" maxValue="128.91428571428571"/>
    </cacheField>
    <cacheField name="Товарооборот на склад на терр. (сред.)" numFmtId="0">
      <sharedItems containsSemiMixedTypes="0" containsString="0" containsNumber="1" minValue="26709.606" maxValue="496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  <n v="15"/>
    <n v="41598.1"/>
    <n v="15"/>
    <n v="41598.1"/>
  </r>
  <r>
    <d v="2020-05-30T00:00:00"/>
    <x v="0"/>
    <n v="10029"/>
    <n v="787101"/>
    <n v="15"/>
    <n v="490"/>
    <n v="409"/>
    <n v="52473.4"/>
    <x v="0"/>
    <n v="15"/>
    <n v="52473.4"/>
    <n v="15"/>
    <n v="52473.4"/>
  </r>
  <r>
    <d v="2020-05-28T00:00:00"/>
    <x v="0"/>
    <n v="8536.5"/>
    <n v="643944"/>
    <n v="15"/>
    <n v="464"/>
    <n v="390"/>
    <n v="42929.599999999999"/>
    <x v="0"/>
    <n v="15"/>
    <n v="42929.599999999999"/>
    <n v="15"/>
    <n v="42929.599999999999"/>
  </r>
  <r>
    <d v="2020-05-16T00:00:00"/>
    <x v="1"/>
    <n v="38947.5"/>
    <n v="3395892"/>
    <n v="21"/>
    <n v="2145"/>
    <n v="1947"/>
    <n v="161709.14285714287"/>
    <x v="1"/>
    <n v="21"/>
    <n v="161709.14285714287"/>
    <n v="20.285714285714285"/>
    <n v="167403.12676056338"/>
  </r>
  <r>
    <d v="2020-05-19T00:00:00"/>
    <x v="1"/>
    <n v="31842"/>
    <n v="2771116.5"/>
    <n v="21"/>
    <n v="1860"/>
    <n v="1704"/>
    <n v="131957.92857142858"/>
    <x v="2"/>
    <n v="20.857142857142858"/>
    <n v="132861.75"/>
    <n v="20.285714285714285"/>
    <n v="136604.33450704225"/>
  </r>
  <r>
    <d v="2020-05-17T00:00:00"/>
    <x v="1"/>
    <n v="32023.5"/>
    <n v="2882458.5"/>
    <n v="21"/>
    <n v="1874"/>
    <n v="1705"/>
    <n v="137259.92857142858"/>
    <x v="1"/>
    <n v="21"/>
    <n v="137259.92857142858"/>
    <n v="20.285714285714285"/>
    <n v="142093.02464788733"/>
  </r>
  <r>
    <d v="2020-05-09T00:00:00"/>
    <x v="1"/>
    <n v="31147.5"/>
    <n v="2831019"/>
    <n v="21"/>
    <n v="1735"/>
    <n v="1568"/>
    <n v="134810.42857142858"/>
    <x v="3"/>
    <n v="20.571428571428573"/>
    <n v="137618.97916666666"/>
    <n v="20.285714285714285"/>
    <n v="139557.27464788733"/>
  </r>
  <r>
    <d v="2020-05-04T00:00:00"/>
    <x v="1"/>
    <n v="25566"/>
    <n v="2372310"/>
    <n v="20"/>
    <n v="1519"/>
    <n v="1372"/>
    <n v="118615.5"/>
    <x v="3"/>
    <n v="20.571428571428573"/>
    <n v="115320.62499999999"/>
    <n v="20.285714285714285"/>
    <n v="116944.85915492958"/>
  </r>
  <r>
    <d v="2020-04-29T00:00:00"/>
    <x v="1"/>
    <n v="29319"/>
    <n v="2623480.5"/>
    <n v="18"/>
    <n v="1684"/>
    <n v="1528"/>
    <n v="145748.91666666666"/>
    <x v="4"/>
    <n v="18.5"/>
    <n v="141809.75675675675"/>
    <n v="20.285714285714285"/>
    <n v="129326.50352112677"/>
  </r>
  <r>
    <d v="2020-05-02T00:00:00"/>
    <x v="1"/>
    <n v="29031"/>
    <n v="2711247"/>
    <n v="18"/>
    <n v="1708"/>
    <n v="1534"/>
    <n v="150624.83333333334"/>
    <x v="4"/>
    <n v="18.5"/>
    <n v="146553.89189189189"/>
    <n v="20.285714285714285"/>
    <n v="133653.02112676058"/>
  </r>
  <r>
    <d v="2020-05-26T00:00:00"/>
    <x v="1"/>
    <n v="33423"/>
    <n v="2970330"/>
    <n v="20"/>
    <n v="2044"/>
    <n v="1863"/>
    <n v="148516.5"/>
    <x v="0"/>
    <n v="20.142857142857142"/>
    <n v="147463.19148936169"/>
    <n v="20.285714285714285"/>
    <n v="146424.71830985916"/>
  </r>
  <r>
    <d v="2020-05-01T00:00:00"/>
    <x v="1"/>
    <n v="32487"/>
    <n v="3031254"/>
    <n v="18"/>
    <n v="1826"/>
    <n v="1633"/>
    <n v="168403"/>
    <x v="4"/>
    <n v="18.5"/>
    <n v="163851.56756756757"/>
    <n v="20.285714285714285"/>
    <n v="149428.01408450704"/>
  </r>
  <r>
    <d v="2020-05-12T00:00:00"/>
    <x v="1"/>
    <n v="28219.5"/>
    <n v="2595778.5"/>
    <n v="21"/>
    <n v="1656"/>
    <n v="1516"/>
    <n v="123608.5"/>
    <x v="1"/>
    <n v="21"/>
    <n v="123608.5"/>
    <n v="20.285714285714285"/>
    <n v="127960.911971831"/>
  </r>
  <r>
    <d v="2020-05-21T00:00:00"/>
    <x v="1"/>
    <n v="31272"/>
    <n v="2744382"/>
    <n v="21"/>
    <n v="1787"/>
    <n v="1626"/>
    <n v="130684.85714285714"/>
    <x v="2"/>
    <n v="20.857142857142858"/>
    <n v="131579.95890410958"/>
    <n v="20.285714285714285"/>
    <n v="135286.43661971833"/>
  </r>
  <r>
    <d v="2020-05-20T00:00:00"/>
    <x v="1"/>
    <n v="34077"/>
    <n v="2929330.5"/>
    <n v="21"/>
    <n v="1921"/>
    <n v="1767"/>
    <n v="139491.92857142858"/>
    <x v="2"/>
    <n v="20.857142857142858"/>
    <n v="140447.35273972602"/>
    <n v="20.285714285714285"/>
    <n v="144403.61619718312"/>
  </r>
  <r>
    <d v="2020-05-05T00:00:00"/>
    <x v="1"/>
    <n v="31566"/>
    <n v="2906763"/>
    <n v="20"/>
    <n v="1773"/>
    <n v="1604"/>
    <n v="145338.15"/>
    <x v="3"/>
    <n v="20.571428571428573"/>
    <n v="141300.97916666666"/>
    <n v="20.285714285714285"/>
    <n v="143291.13380281691"/>
  </r>
  <r>
    <d v="2020-04-28T00:00:00"/>
    <x v="1"/>
    <n v="26940"/>
    <n v="2411587.5"/>
    <n v="18"/>
    <n v="1539"/>
    <n v="1404"/>
    <n v="133977.08333333334"/>
    <x v="4"/>
    <n v="18.5"/>
    <n v="130356.08108108108"/>
    <n v="20.285714285714285"/>
    <n v="118881.07394366198"/>
  </r>
  <r>
    <d v="2020-05-13T00:00:00"/>
    <x v="1"/>
    <n v="29241"/>
    <n v="2629782"/>
    <n v="21"/>
    <n v="1698"/>
    <n v="1554"/>
    <n v="125227.71428571429"/>
    <x v="1"/>
    <n v="21"/>
    <n v="125227.71428571429"/>
    <n v="20.285714285714285"/>
    <n v="129637.14084507043"/>
  </r>
  <r>
    <d v="2020-05-03T00:00:00"/>
    <x v="1"/>
    <n v="26082"/>
    <n v="2434914"/>
    <n v="20"/>
    <n v="1520"/>
    <n v="1373"/>
    <n v="121745.7"/>
    <x v="4"/>
    <n v="18.5"/>
    <n v="131616.97297297296"/>
    <n v="20.285714285714285"/>
    <n v="120030.97183098592"/>
  </r>
  <r>
    <d v="2020-05-06T00:00:00"/>
    <x v="1"/>
    <n v="32511"/>
    <n v="2938623"/>
    <n v="20"/>
    <n v="1784"/>
    <n v="1632"/>
    <n v="146931.15"/>
    <x v="3"/>
    <n v="20.571428571428573"/>
    <n v="142849.72916666666"/>
    <n v="20.285714285714285"/>
    <n v="144861.69718309859"/>
  </r>
  <r>
    <d v="2020-05-23T00:00:00"/>
    <x v="1"/>
    <n v="42703.5"/>
    <n v="3628726.5"/>
    <n v="21"/>
    <n v="2340"/>
    <n v="2146"/>
    <n v="172796.5"/>
    <x v="2"/>
    <n v="20.857142857142858"/>
    <n v="173980.03767123286"/>
    <n v="20.285714285714285"/>
    <n v="178880.88380281691"/>
  </r>
  <r>
    <d v="2020-05-25T00:00:00"/>
    <x v="1"/>
    <n v="35592"/>
    <n v="3176580"/>
    <n v="20"/>
    <n v="2087"/>
    <n v="1914"/>
    <n v="158829"/>
    <x v="0"/>
    <n v="20.142857142857142"/>
    <n v="157702.55319148937"/>
    <n v="20.285714285714285"/>
    <n v="156591.97183098592"/>
  </r>
  <r>
    <d v="2020-04-30T00:00:00"/>
    <x v="1"/>
    <n v="30445.5"/>
    <n v="2817196.5"/>
    <n v="19"/>
    <n v="1712"/>
    <n v="1552"/>
    <n v="148273.5"/>
    <x v="4"/>
    <n v="18.5"/>
    <n v="152280.89189189189"/>
    <n v="20.285714285714285"/>
    <n v="138875.88380281691"/>
  </r>
  <r>
    <d v="2020-05-10T00:00:00"/>
    <x v="1"/>
    <n v="36619.5"/>
    <n v="3312967.5"/>
    <n v="21"/>
    <n v="2016"/>
    <n v="1846"/>
    <n v="157760.35714285713"/>
    <x v="3"/>
    <n v="20.571428571428573"/>
    <n v="161047.03125"/>
    <n v="20.285714285714285"/>
    <n v="163315.29929577466"/>
  </r>
  <r>
    <d v="2020-05-08T00:00:00"/>
    <x v="1"/>
    <n v="29409"/>
    <n v="2645160"/>
    <n v="21"/>
    <n v="1646"/>
    <n v="1492"/>
    <n v="125960"/>
    <x v="3"/>
    <n v="20.571428571428573"/>
    <n v="128584.16666666666"/>
    <n v="20.285714285714285"/>
    <n v="130395.21126760564"/>
  </r>
  <r>
    <d v="2020-05-07T00:00:00"/>
    <x v="1"/>
    <n v="27018"/>
    <n v="2472213"/>
    <n v="21"/>
    <n v="1542"/>
    <n v="1405"/>
    <n v="117724.42857142857"/>
    <x v="3"/>
    <n v="20.571428571428573"/>
    <n v="120177.02083333333"/>
    <n v="20.285714285714285"/>
    <n v="121869.65492957747"/>
  </r>
  <r>
    <d v="2020-05-24T00:00:00"/>
    <x v="1"/>
    <n v="34303.5"/>
    <n v="2924746.5"/>
    <n v="20"/>
    <n v="1999"/>
    <n v="1829"/>
    <n v="146237.32500000001"/>
    <x v="2"/>
    <n v="20.857142857142858"/>
    <n v="140227.57191780821"/>
    <n v="20.285714285714285"/>
    <n v="144177.6443661972"/>
  </r>
  <r>
    <d v="2020-05-31T00:00:00"/>
    <x v="1"/>
    <n v="36999"/>
    <n v="3473895"/>
    <n v="21"/>
    <n v="2271"/>
    <n v="2085"/>
    <n v="165423.57142857142"/>
    <x v="0"/>
    <n v="20.142857142857142"/>
    <n v="172462.87234042553"/>
    <n v="20.285714285714285"/>
    <n v="171248.34507042254"/>
  </r>
  <r>
    <d v="2020-05-30T00:00:00"/>
    <x v="1"/>
    <n v="44001"/>
    <n v="3921784.5"/>
    <n v="20"/>
    <n v="2597"/>
    <n v="2376"/>
    <n v="196089.22500000001"/>
    <x v="0"/>
    <n v="20.142857142857142"/>
    <n v="194698.52127659574"/>
    <n v="20.285714285714285"/>
    <n v="193327.40492957746"/>
  </r>
  <r>
    <d v="2020-05-28T00:00:00"/>
    <x v="1"/>
    <n v="30982.5"/>
    <n v="2827773"/>
    <n v="20"/>
    <n v="1886"/>
    <n v="1736"/>
    <n v="141388.65"/>
    <x v="0"/>
    <n v="20.142857142857142"/>
    <n v="140385.89361702127"/>
    <n v="20.285714285714285"/>
    <n v="139397.26056338029"/>
  </r>
  <r>
    <d v="2020-05-16T00:00:00"/>
    <x v="2"/>
    <n v="88063.5"/>
    <n v="7583758.5"/>
    <n v="31"/>
    <n v="5593"/>
    <n v="5177"/>
    <n v="244637.37096774194"/>
    <x v="1"/>
    <n v="31"/>
    <n v="244637.37096774194"/>
    <n v="31"/>
    <n v="244637.37096774194"/>
  </r>
  <r>
    <d v="2020-05-19T00:00:00"/>
    <x v="2"/>
    <n v="84024"/>
    <n v="6815511"/>
    <n v="31"/>
    <n v="5389"/>
    <n v="5024"/>
    <n v="219855.19354838709"/>
    <x v="2"/>
    <n v="31"/>
    <n v="219855.19354838709"/>
    <n v="31"/>
    <n v="219855.19354838709"/>
  </r>
  <r>
    <d v="2020-05-17T00:00:00"/>
    <x v="2"/>
    <n v="78057"/>
    <n v="6774946.5"/>
    <n v="31"/>
    <n v="5206"/>
    <n v="4843"/>
    <n v="218546.66129032258"/>
    <x v="1"/>
    <n v="31"/>
    <n v="218546.66129032258"/>
    <n v="31"/>
    <n v="218546.66129032258"/>
  </r>
  <r>
    <d v="2020-05-09T00:00:00"/>
    <x v="2"/>
    <n v="69720"/>
    <n v="6264933"/>
    <n v="31"/>
    <n v="4556"/>
    <n v="4220"/>
    <n v="202094.61290322582"/>
    <x v="3"/>
    <n v="31"/>
    <n v="202094.61290322582"/>
    <n v="31"/>
    <n v="202094.61290322582"/>
  </r>
  <r>
    <d v="2020-05-04T00:00:00"/>
    <x v="2"/>
    <n v="72928.5"/>
    <n v="6642249"/>
    <n v="31"/>
    <n v="4968"/>
    <n v="4596"/>
    <n v="214266.09677419355"/>
    <x v="3"/>
    <n v="31"/>
    <n v="214266.09677419355"/>
    <n v="31"/>
    <n v="214266.09677419355"/>
  </r>
  <r>
    <d v="2020-04-29T00:00:00"/>
    <x v="2"/>
    <n v="79527"/>
    <n v="7180498.5"/>
    <n v="31"/>
    <n v="5378"/>
    <n v="4985"/>
    <n v="231628.98387096773"/>
    <x v="4"/>
    <n v="31"/>
    <n v="231628.98387096773"/>
    <n v="31"/>
    <n v="231628.98387096773"/>
  </r>
  <r>
    <d v="2020-05-02T00:00:00"/>
    <x v="2"/>
    <n v="60463.5"/>
    <n v="5554192.5"/>
    <n v="31"/>
    <n v="4157"/>
    <n v="3823"/>
    <n v="179167.5"/>
    <x v="4"/>
    <n v="31"/>
    <n v="179167.5"/>
    <n v="31"/>
    <n v="179167.5"/>
  </r>
  <r>
    <d v="2020-05-26T00:00:00"/>
    <x v="2"/>
    <n v="79975.5"/>
    <n v="6676459.5"/>
    <n v="31"/>
    <n v="5493"/>
    <n v="5119"/>
    <n v="215369.66129032258"/>
    <x v="0"/>
    <n v="31"/>
    <n v="215369.66129032258"/>
    <n v="31"/>
    <n v="215369.66129032258"/>
  </r>
  <r>
    <d v="2020-05-01T00:00:00"/>
    <x v="2"/>
    <n v="97534.5"/>
    <n v="8893024.5"/>
    <n v="31"/>
    <n v="6118"/>
    <n v="5564"/>
    <n v="286871.75806451612"/>
    <x v="4"/>
    <n v="31"/>
    <n v="286871.75806451612"/>
    <n v="31"/>
    <n v="286871.75806451612"/>
  </r>
  <r>
    <d v="2020-05-12T00:00:00"/>
    <x v="2"/>
    <n v="71520"/>
    <n v="6398361"/>
    <n v="31"/>
    <n v="4800"/>
    <n v="4470"/>
    <n v="206398.74193548388"/>
    <x v="1"/>
    <n v="31"/>
    <n v="206398.74193548388"/>
    <n v="31"/>
    <n v="206398.74193548388"/>
  </r>
  <r>
    <d v="2020-05-21T00:00:00"/>
    <x v="2"/>
    <n v="79485"/>
    <n v="6633847.5"/>
    <n v="31"/>
    <n v="5207"/>
    <n v="4868"/>
    <n v="213995.0806451613"/>
    <x v="2"/>
    <n v="31"/>
    <n v="213995.0806451613"/>
    <n v="31"/>
    <n v="213995.0806451613"/>
  </r>
  <r>
    <d v="2020-05-20T00:00:00"/>
    <x v="2"/>
    <n v="93313.5"/>
    <n v="7247575.5"/>
    <n v="31"/>
    <n v="5698"/>
    <n v="5258"/>
    <n v="233792.75806451612"/>
    <x v="2"/>
    <n v="31"/>
    <n v="233792.75806451612"/>
    <n v="31"/>
    <n v="233792.75806451612"/>
  </r>
  <r>
    <d v="2020-05-05T00:00:00"/>
    <x v="2"/>
    <n v="76585.5"/>
    <n v="6921316.5"/>
    <n v="31"/>
    <n v="5188"/>
    <n v="4800"/>
    <n v="223268.27419354839"/>
    <x v="3"/>
    <n v="31"/>
    <n v="223268.27419354839"/>
    <n v="31"/>
    <n v="223268.27419354839"/>
  </r>
  <r>
    <d v="2020-04-28T00:00:00"/>
    <x v="2"/>
    <n v="81826.5"/>
    <n v="7163644.5"/>
    <n v="31"/>
    <n v="5465"/>
    <n v="5096"/>
    <n v="231085.30645161291"/>
    <x v="4"/>
    <n v="31"/>
    <n v="231085.30645161291"/>
    <n v="31"/>
    <n v="231085.30645161291"/>
  </r>
  <r>
    <d v="2020-05-13T00:00:00"/>
    <x v="2"/>
    <n v="78846"/>
    <n v="6993952.5"/>
    <n v="31"/>
    <n v="5251"/>
    <n v="4853"/>
    <n v="225611.37096774194"/>
    <x v="1"/>
    <n v="31"/>
    <n v="225611.37096774194"/>
    <n v="31"/>
    <n v="225611.37096774194"/>
  </r>
  <r>
    <d v="2020-05-03T00:00:00"/>
    <x v="2"/>
    <n v="77263.5"/>
    <n v="7013670"/>
    <n v="31"/>
    <n v="5155"/>
    <n v="4762"/>
    <n v="226247.4193548387"/>
    <x v="4"/>
    <n v="31"/>
    <n v="226247.4193548387"/>
    <n v="31"/>
    <n v="226247.4193548387"/>
  </r>
  <r>
    <d v="2020-05-06T00:00:00"/>
    <x v="2"/>
    <n v="68994"/>
    <n v="6168657"/>
    <n v="31"/>
    <n v="4709"/>
    <n v="4348"/>
    <n v="198988.93548387097"/>
    <x v="3"/>
    <n v="31"/>
    <n v="198988.93548387097"/>
    <n v="31"/>
    <n v="198988.93548387097"/>
  </r>
  <r>
    <d v="2020-05-23T00:00:00"/>
    <x v="2"/>
    <n v="102889.5"/>
    <n v="8089143"/>
    <n v="31"/>
    <n v="6276"/>
    <n v="5801"/>
    <n v="260940.09677419355"/>
    <x v="2"/>
    <n v="31"/>
    <n v="260940.09677419355"/>
    <n v="31"/>
    <n v="260940.09677419355"/>
  </r>
  <r>
    <d v="2020-05-25T00:00:00"/>
    <x v="2"/>
    <n v="76999.5"/>
    <n v="6645603"/>
    <n v="31"/>
    <n v="5210"/>
    <n v="4841"/>
    <n v="214374.29032258064"/>
    <x v="0"/>
    <n v="31"/>
    <n v="214374.29032258064"/>
    <n v="31"/>
    <n v="214374.29032258064"/>
  </r>
  <r>
    <d v="2020-04-30T00:00:00"/>
    <x v="2"/>
    <n v="77565"/>
    <n v="7023727.5"/>
    <n v="31"/>
    <n v="5120"/>
    <n v="4737"/>
    <n v="226571.85483870967"/>
    <x v="4"/>
    <n v="31"/>
    <n v="226571.85483870967"/>
    <n v="31"/>
    <n v="226571.85483870967"/>
  </r>
  <r>
    <d v="2020-05-10T00:00:00"/>
    <x v="2"/>
    <n v="84132"/>
    <n v="7483194"/>
    <n v="31"/>
    <n v="5495"/>
    <n v="5093"/>
    <n v="241393.35483870967"/>
    <x v="3"/>
    <n v="31"/>
    <n v="241393.35483870967"/>
    <n v="31"/>
    <n v="241393.35483870967"/>
  </r>
  <r>
    <d v="2020-05-08T00:00:00"/>
    <x v="2"/>
    <n v="69544.5"/>
    <n v="6293776.5"/>
    <n v="31"/>
    <n v="4635"/>
    <n v="4266"/>
    <n v="203025.04838709679"/>
    <x v="3"/>
    <n v="31"/>
    <n v="203025.04838709679"/>
    <n v="31"/>
    <n v="203025.04838709679"/>
  </r>
  <r>
    <d v="2020-05-07T00:00:00"/>
    <x v="2"/>
    <n v="73204.5"/>
    <n v="6591883.5"/>
    <n v="31"/>
    <n v="4903"/>
    <n v="4527"/>
    <n v="212641.40322580645"/>
    <x v="3"/>
    <n v="31"/>
    <n v="212641.40322580645"/>
    <n v="31"/>
    <n v="212641.40322580645"/>
  </r>
  <r>
    <d v="2020-05-24T00:00:00"/>
    <x v="2"/>
    <n v="76663.5"/>
    <n v="6451032"/>
    <n v="31"/>
    <n v="5035"/>
    <n v="4683"/>
    <n v="208097.80645161291"/>
    <x v="2"/>
    <n v="31"/>
    <n v="208097.80645161291"/>
    <n v="31"/>
    <n v="208097.80645161291"/>
  </r>
  <r>
    <d v="2020-05-16T00:00:00"/>
    <x v="3"/>
    <n v="14265"/>
    <n v="1130506.5"/>
    <n v="10"/>
    <n v="760"/>
    <n v="672"/>
    <n v="113050.65"/>
    <x v="1"/>
    <n v="10"/>
    <n v="113050.65"/>
    <n v="10"/>
    <n v="113050.65"/>
  </r>
  <r>
    <d v="2020-05-19T00:00:00"/>
    <x v="3"/>
    <n v="11526"/>
    <n v="938764.5"/>
    <n v="10"/>
    <n v="649"/>
    <n v="568"/>
    <n v="93876.45"/>
    <x v="2"/>
    <n v="10"/>
    <n v="93876.45"/>
    <n v="10"/>
    <n v="93876.45"/>
  </r>
  <r>
    <d v="2020-05-17T00:00:00"/>
    <x v="3"/>
    <n v="10402.5"/>
    <n v="843727.5"/>
    <n v="10"/>
    <n v="591"/>
    <n v="513"/>
    <n v="84372.75"/>
    <x v="1"/>
    <n v="10"/>
    <n v="84372.75"/>
    <n v="10"/>
    <n v="84372.75"/>
  </r>
  <r>
    <d v="2020-05-09T00:00:00"/>
    <x v="3"/>
    <n v="13216.5"/>
    <n v="1046400"/>
    <n v="10"/>
    <n v="644"/>
    <n v="559"/>
    <n v="104640"/>
    <x v="3"/>
    <n v="10"/>
    <n v="104640"/>
    <n v="10"/>
    <n v="104640"/>
  </r>
  <r>
    <d v="2020-05-04T00:00:00"/>
    <x v="3"/>
    <n v="9130.5"/>
    <n v="728890.5"/>
    <n v="10"/>
    <n v="462"/>
    <n v="396"/>
    <n v="72889.05"/>
    <x v="3"/>
    <n v="10"/>
    <n v="72889.05"/>
    <n v="10"/>
    <n v="72889.05"/>
  </r>
  <r>
    <d v="2020-04-29T00:00:00"/>
    <x v="3"/>
    <n v="10840.5"/>
    <n v="797919"/>
    <n v="10"/>
    <n v="502"/>
    <n v="433"/>
    <n v="79791.899999999994"/>
    <x v="4"/>
    <n v="10"/>
    <n v="79791.899999999994"/>
    <n v="10"/>
    <n v="79791.899999999994"/>
  </r>
  <r>
    <d v="2020-05-02T00:00:00"/>
    <x v="3"/>
    <n v="7866"/>
    <n v="617881.5"/>
    <n v="10"/>
    <n v="416"/>
    <n v="341"/>
    <n v="61788.15"/>
    <x v="4"/>
    <n v="10"/>
    <n v="61788.15"/>
    <n v="10"/>
    <n v="61788.15"/>
  </r>
  <r>
    <d v="2020-05-26T00:00:00"/>
    <x v="3"/>
    <n v="11835"/>
    <n v="983109"/>
    <n v="10"/>
    <n v="692"/>
    <n v="601"/>
    <n v="98310.9"/>
    <x v="0"/>
    <n v="10"/>
    <n v="98310.9"/>
    <n v="10"/>
    <n v="98310.9"/>
  </r>
  <r>
    <d v="2020-05-01T00:00:00"/>
    <x v="3"/>
    <n v="11619"/>
    <n v="891139.5"/>
    <n v="10"/>
    <n v="554"/>
    <n v="472"/>
    <n v="89113.95"/>
    <x v="4"/>
    <n v="10"/>
    <n v="89113.95"/>
    <n v="10"/>
    <n v="89113.95"/>
  </r>
  <r>
    <d v="2020-05-12T00:00:00"/>
    <x v="3"/>
    <n v="9328.5"/>
    <n v="732964.5"/>
    <n v="10"/>
    <n v="526"/>
    <n v="448"/>
    <n v="73296.45"/>
    <x v="1"/>
    <n v="10"/>
    <n v="73296.45"/>
    <n v="10"/>
    <n v="73296.45"/>
  </r>
  <r>
    <d v="2020-05-21T00:00:00"/>
    <x v="3"/>
    <n v="11250"/>
    <n v="935523"/>
    <n v="10"/>
    <n v="677"/>
    <n v="591"/>
    <n v="93552.3"/>
    <x v="2"/>
    <n v="10"/>
    <n v="93552.3"/>
    <n v="10"/>
    <n v="93552.3"/>
  </r>
  <r>
    <d v="2020-05-20T00:00:00"/>
    <x v="3"/>
    <n v="13063.5"/>
    <n v="1037247"/>
    <n v="10"/>
    <n v="745"/>
    <n v="654"/>
    <n v="103724.7"/>
    <x v="2"/>
    <n v="10"/>
    <n v="103724.7"/>
    <n v="10"/>
    <n v="103724.7"/>
  </r>
  <r>
    <d v="2020-05-05T00:00:00"/>
    <x v="3"/>
    <n v="10147.5"/>
    <n v="793320"/>
    <n v="10"/>
    <n v="511"/>
    <n v="437"/>
    <n v="79332"/>
    <x v="3"/>
    <n v="10"/>
    <n v="79332"/>
    <n v="10"/>
    <n v="79332"/>
  </r>
  <r>
    <d v="2020-04-28T00:00:00"/>
    <x v="3"/>
    <n v="12331.5"/>
    <n v="869983.5"/>
    <n v="10"/>
    <n v="580"/>
    <n v="506"/>
    <n v="86998.35"/>
    <x v="4"/>
    <n v="10"/>
    <n v="86998.35"/>
    <n v="10"/>
    <n v="86998.35"/>
  </r>
  <r>
    <d v="2020-05-13T00:00:00"/>
    <x v="3"/>
    <n v="11202"/>
    <n v="865714.5"/>
    <n v="10"/>
    <n v="612"/>
    <n v="530"/>
    <n v="86571.45"/>
    <x v="1"/>
    <n v="10"/>
    <n v="86571.45"/>
    <n v="10"/>
    <n v="86571.45"/>
  </r>
  <r>
    <d v="2020-05-31T00:00:00"/>
    <x v="2"/>
    <n v="89149.5"/>
    <n v="7512646.5"/>
    <n v="31"/>
    <n v="5760"/>
    <n v="5367"/>
    <n v="242343.43548387097"/>
    <x v="0"/>
    <n v="31"/>
    <n v="242343.43548387097"/>
    <n v="31"/>
    <n v="242343.43548387097"/>
  </r>
  <r>
    <d v="2020-05-03T00:00:00"/>
    <x v="3"/>
    <n v="8185.5"/>
    <n v="637881"/>
    <n v="10"/>
    <n v="402"/>
    <n v="333"/>
    <n v="63788.1"/>
    <x v="4"/>
    <n v="10"/>
    <n v="63788.1"/>
    <n v="10"/>
    <n v="63788.1"/>
  </r>
  <r>
    <d v="2020-05-30T00:00:00"/>
    <x v="2"/>
    <n v="108123"/>
    <n v="9164707.5"/>
    <n v="31"/>
    <n v="6735"/>
    <n v="6264"/>
    <n v="295635.72580645164"/>
    <x v="0"/>
    <n v="31"/>
    <n v="295635.72580645164"/>
    <n v="31"/>
    <n v="295635.72580645164"/>
  </r>
  <r>
    <d v="2020-05-06T00:00:00"/>
    <x v="3"/>
    <n v="9210"/>
    <n v="696832.5"/>
    <n v="10"/>
    <n v="465"/>
    <n v="390"/>
    <n v="69683.25"/>
    <x v="3"/>
    <n v="10"/>
    <n v="69683.25"/>
    <n v="10"/>
    <n v="69683.25"/>
  </r>
  <r>
    <d v="2020-05-23T00:00:00"/>
    <x v="3"/>
    <n v="14773.5"/>
    <n v="1241383.5"/>
    <n v="10"/>
    <n v="828"/>
    <n v="734"/>
    <n v="124138.35"/>
    <x v="2"/>
    <n v="10"/>
    <n v="124138.35"/>
    <n v="10"/>
    <n v="124138.35"/>
  </r>
  <r>
    <d v="2020-05-28T00:00:00"/>
    <x v="2"/>
    <n v="78141"/>
    <n v="6641569.5"/>
    <n v="31"/>
    <n v="5355"/>
    <n v="4969"/>
    <n v="214244.17741935485"/>
    <x v="0"/>
    <n v="31"/>
    <n v="214244.17741935485"/>
    <n v="31"/>
    <n v="214244.17741935485"/>
  </r>
  <r>
    <d v="2020-05-25T00:00:00"/>
    <x v="3"/>
    <n v="12280.5"/>
    <n v="1030440"/>
    <n v="10"/>
    <n v="739"/>
    <n v="642"/>
    <n v="103044"/>
    <x v="0"/>
    <n v="10"/>
    <n v="103044"/>
    <n v="10"/>
    <n v="103044"/>
  </r>
  <r>
    <d v="2020-04-30T00:00:00"/>
    <x v="3"/>
    <n v="8934"/>
    <n v="716196"/>
    <n v="10"/>
    <n v="448"/>
    <n v="376"/>
    <n v="71619.600000000006"/>
    <x v="4"/>
    <n v="10"/>
    <n v="71619.600000000006"/>
    <n v="10"/>
    <n v="71619.600000000006"/>
  </r>
  <r>
    <d v="2020-05-10T00:00:00"/>
    <x v="3"/>
    <n v="12918"/>
    <n v="1004788.5"/>
    <n v="10"/>
    <n v="642"/>
    <n v="556"/>
    <n v="100478.85"/>
    <x v="3"/>
    <n v="10"/>
    <n v="100478.85"/>
    <n v="10"/>
    <n v="100478.85"/>
  </r>
  <r>
    <d v="2020-05-08T00:00:00"/>
    <x v="3"/>
    <n v="12528"/>
    <n v="959703"/>
    <n v="10"/>
    <n v="638"/>
    <n v="547"/>
    <n v="95970.3"/>
    <x v="3"/>
    <n v="10"/>
    <n v="95970.3"/>
    <n v="10"/>
    <n v="95970.3"/>
  </r>
  <r>
    <d v="2020-05-07T00:00:00"/>
    <x v="3"/>
    <n v="11029.5"/>
    <n v="863754"/>
    <n v="10"/>
    <n v="563"/>
    <n v="486"/>
    <n v="86375.4"/>
    <x v="3"/>
    <n v="10"/>
    <n v="86375.4"/>
    <n v="10"/>
    <n v="86375.4"/>
  </r>
  <r>
    <d v="2020-05-24T00:00:00"/>
    <x v="3"/>
    <n v="9994.5"/>
    <n v="828984"/>
    <n v="10"/>
    <n v="639"/>
    <n v="557"/>
    <n v="82898.399999999994"/>
    <x v="2"/>
    <n v="10"/>
    <n v="82898.399999999994"/>
    <n v="10"/>
    <n v="82898.399999999994"/>
  </r>
  <r>
    <d v="2020-05-31T00:00:00"/>
    <x v="3"/>
    <n v="12724.5"/>
    <n v="1045515"/>
    <n v="10"/>
    <n v="749"/>
    <n v="655"/>
    <n v="104551.5"/>
    <x v="0"/>
    <n v="10"/>
    <n v="104551.5"/>
    <n v="10"/>
    <n v="104551.5"/>
  </r>
  <r>
    <d v="2020-05-30T00:00:00"/>
    <x v="3"/>
    <n v="14728.5"/>
    <n v="1260483"/>
    <n v="10"/>
    <n v="865"/>
    <n v="763"/>
    <n v="126048.3"/>
    <x v="0"/>
    <n v="10"/>
    <n v="126048.3"/>
    <n v="10"/>
    <n v="126048.3"/>
  </r>
  <r>
    <d v="2020-05-28T00:00:00"/>
    <x v="3"/>
    <n v="13038"/>
    <n v="1114552.5"/>
    <n v="10"/>
    <n v="791"/>
    <n v="697"/>
    <n v="111455.25"/>
    <x v="0"/>
    <n v="10"/>
    <n v="111455.25"/>
    <n v="10"/>
    <n v="111455.25"/>
  </r>
  <r>
    <d v="2020-05-16T00:00:00"/>
    <x v="4"/>
    <n v="35482.5"/>
    <n v="3222517.5"/>
    <n v="19"/>
    <n v="2080"/>
    <n v="1844"/>
    <n v="169606.18421052632"/>
    <x v="1"/>
    <n v="19"/>
    <n v="169606.18421052632"/>
    <n v="19.228571428571428"/>
    <n v="167590.0631500743"/>
  </r>
  <r>
    <d v="2020-05-19T00:00:00"/>
    <x v="4"/>
    <n v="32434.5"/>
    <n v="2865337.5"/>
    <n v="19"/>
    <n v="1999"/>
    <n v="1799"/>
    <n v="150807.23684210525"/>
    <x v="2"/>
    <n v="19.428571428571427"/>
    <n v="147480.60661764708"/>
    <n v="19.228571428571428"/>
    <n v="149014.58023774147"/>
  </r>
  <r>
    <d v="2020-05-17T00:00:00"/>
    <x v="4"/>
    <n v="30486"/>
    <n v="2694289.5"/>
    <n v="19"/>
    <n v="1871"/>
    <n v="1660"/>
    <n v="141804.71052631579"/>
    <x v="1"/>
    <n v="19"/>
    <n v="141804.71052631579"/>
    <n v="19.228571428571428"/>
    <n v="140119.06760772661"/>
  </r>
  <r>
    <d v="2020-05-09T00:00:00"/>
    <x v="4"/>
    <n v="32079"/>
    <n v="2902167"/>
    <n v="19"/>
    <n v="1851"/>
    <n v="1635"/>
    <n v="152745.63157894736"/>
    <x v="3"/>
    <n v="19"/>
    <n v="152745.63157894736"/>
    <n v="19.228571428571428"/>
    <n v="150929.93313521545"/>
  </r>
  <r>
    <d v="2020-05-04T00:00:00"/>
    <x v="4"/>
    <n v="27072"/>
    <n v="2450968.5"/>
    <n v="19"/>
    <n v="1582"/>
    <n v="1403"/>
    <n v="128998.34210526316"/>
    <x v="3"/>
    <n v="19"/>
    <n v="128998.34210526316"/>
    <n v="19.228571428571428"/>
    <n v="127464.9294205052"/>
  </r>
  <r>
    <d v="2020-04-29T00:00:00"/>
    <x v="4"/>
    <n v="25917"/>
    <n v="2397588"/>
    <n v="18"/>
    <n v="1534"/>
    <n v="1369"/>
    <n v="133199.33333333334"/>
    <x v="4"/>
    <n v="18.5"/>
    <n v="129599.35135135135"/>
    <n v="19.228571428571428"/>
    <n v="124688.82615156018"/>
  </r>
  <r>
    <d v="2020-05-02T00:00:00"/>
    <x v="4"/>
    <n v="19461"/>
    <n v="1799230.5"/>
    <n v="19"/>
    <n v="1217"/>
    <n v="1048"/>
    <n v="94696.34210526316"/>
    <x v="4"/>
    <n v="18.5"/>
    <n v="97255.702702702707"/>
    <n v="19.228571428571428"/>
    <n v="93570.679791976232"/>
  </r>
  <r>
    <d v="2020-05-26T00:00:00"/>
    <x v="4"/>
    <n v="31407"/>
    <n v="2907411"/>
    <n v="20"/>
    <n v="2036"/>
    <n v="1790"/>
    <n v="145370.54999999999"/>
    <x v="0"/>
    <n v="20"/>
    <n v="145370.54999999999"/>
    <n v="19.228571428571428"/>
    <n v="151202.65230312035"/>
  </r>
  <r>
    <d v="2020-05-01T00:00:00"/>
    <x v="4"/>
    <n v="25792.5"/>
    <n v="2374356"/>
    <n v="19"/>
    <n v="1497"/>
    <n v="1291"/>
    <n v="124966.10526315789"/>
    <x v="4"/>
    <n v="18.5"/>
    <n v="128343.56756756757"/>
    <n v="19.228571428571428"/>
    <n v="123480.62407132244"/>
  </r>
  <r>
    <d v="2020-05-12T00:00:00"/>
    <x v="4"/>
    <n v="26032.5"/>
    <n v="2370432"/>
    <n v="19"/>
    <n v="1649"/>
    <n v="1460"/>
    <n v="124759.57894736843"/>
    <x v="1"/>
    <n v="19"/>
    <n v="124759.57894736843"/>
    <n v="19.228571428571428"/>
    <n v="123276.55274888559"/>
  </r>
  <r>
    <d v="2020-05-21T00:00:00"/>
    <x v="4"/>
    <n v="31707"/>
    <n v="2853181.5"/>
    <n v="19"/>
    <n v="1949"/>
    <n v="1724"/>
    <n v="150167.44736842104"/>
    <x v="2"/>
    <n v="19.428571428571427"/>
    <n v="146854.93014705883"/>
    <n v="19.228571428571428"/>
    <n v="148382.39598811293"/>
  </r>
  <r>
    <d v="2020-05-20T00:00:00"/>
    <x v="4"/>
    <n v="29955"/>
    <n v="2692230"/>
    <n v="19"/>
    <n v="1889"/>
    <n v="1690"/>
    <n v="141696.31578947368"/>
    <x v="2"/>
    <n v="19.428571428571427"/>
    <n v="138570.6617647059"/>
    <n v="19.228571428571428"/>
    <n v="140011.96136701337"/>
  </r>
  <r>
    <d v="2020-05-05T00:00:00"/>
    <x v="4"/>
    <n v="22848"/>
    <n v="2079900"/>
    <n v="19"/>
    <n v="1417"/>
    <n v="1245"/>
    <n v="109468.42105263157"/>
    <x v="3"/>
    <n v="19"/>
    <n v="109468.42105263157"/>
    <n v="19.228571428571428"/>
    <n v="108167.16196136702"/>
  </r>
  <r>
    <d v="2020-04-28T00:00:00"/>
    <x v="4"/>
    <n v="23314.5"/>
    <n v="2136817.5"/>
    <n v="17"/>
    <n v="1439"/>
    <n v="1265"/>
    <n v="125695.14705882352"/>
    <x v="4"/>
    <n v="18.5"/>
    <n v="115503.64864864865"/>
    <n v="19.228571428571428"/>
    <n v="111127.2102526003"/>
  </r>
  <r>
    <d v="2020-05-13T00:00:00"/>
    <x v="4"/>
    <n v="26464.5"/>
    <n v="2373337.5"/>
    <n v="19"/>
    <n v="1625"/>
    <n v="1444"/>
    <n v="124912.5"/>
    <x v="1"/>
    <n v="19"/>
    <n v="124912.5"/>
    <n v="19.228571428571428"/>
    <n v="123427.65601783061"/>
  </r>
  <r>
    <d v="2020-05-03T00:00:00"/>
    <x v="4"/>
    <n v="23539.5"/>
    <n v="2170309.5"/>
    <n v="19"/>
    <n v="1402"/>
    <n v="1234"/>
    <n v="114226.81578947368"/>
    <x v="4"/>
    <n v="18.5"/>
    <n v="117314.02702702703"/>
    <n v="19.228571428571428"/>
    <n v="112868.99331352155"/>
  </r>
  <r>
    <d v="2020-05-06T00:00:00"/>
    <x v="4"/>
    <n v="24678"/>
    <n v="2232519"/>
    <n v="19"/>
    <n v="1499"/>
    <n v="1323"/>
    <n v="117501"/>
    <x v="3"/>
    <n v="19"/>
    <n v="117501"/>
    <n v="19.228571428571428"/>
    <n v="116104.25705794948"/>
  </r>
  <r>
    <d v="2020-05-23T00:00:00"/>
    <x v="4"/>
    <n v="38176.5"/>
    <n v="3385372.5"/>
    <n v="20"/>
    <n v="2266"/>
    <n v="1993"/>
    <n v="169268.625"/>
    <x v="2"/>
    <n v="19.428571428571427"/>
    <n v="174247.11397058825"/>
    <n v="19.228571428571428"/>
    <n v="176059.49108469542"/>
  </r>
  <r>
    <d v="2020-05-25T00:00:00"/>
    <x v="4"/>
    <n v="30603"/>
    <n v="2865727.5"/>
    <n v="20"/>
    <n v="2011"/>
    <n v="1791"/>
    <n v="143286.375"/>
    <x v="0"/>
    <n v="20"/>
    <n v="143286.375"/>
    <n v="19.228571428571428"/>
    <n v="149034.86255572067"/>
  </r>
  <r>
    <d v="2020-04-30T00:00:00"/>
    <x v="4"/>
    <n v="24211.5"/>
    <n v="2267664"/>
    <n v="19"/>
    <n v="1499"/>
    <n v="1322"/>
    <n v="119350.73684210527"/>
    <x v="4"/>
    <n v="18.5"/>
    <n v="122576.43243243243"/>
    <n v="19.228571428571428"/>
    <n v="117932.00594353641"/>
  </r>
  <r>
    <d v="2020-05-10T00:00:00"/>
    <x v="4"/>
    <n v="31399.5"/>
    <n v="2862298.5"/>
    <n v="19"/>
    <n v="1848"/>
    <n v="1649"/>
    <n v="150647.28947368421"/>
    <x v="3"/>
    <n v="19"/>
    <n v="150647.28947368421"/>
    <n v="19.228571428571428"/>
    <n v="148856.53417533432"/>
  </r>
  <r>
    <d v="2020-05-08T00:00:00"/>
    <x v="4"/>
    <n v="25294.5"/>
    <n v="2271454.5"/>
    <n v="19"/>
    <n v="1522"/>
    <n v="1340"/>
    <n v="119550.23684210527"/>
    <x v="3"/>
    <n v="19"/>
    <n v="119550.23684210527"/>
    <n v="19.228571428571428"/>
    <n v="118129.13447251116"/>
  </r>
  <r>
    <d v="2020-05-07T00:00:00"/>
    <x v="4"/>
    <n v="25468.5"/>
    <n v="2350672.5"/>
    <n v="19"/>
    <n v="1530"/>
    <n v="1338"/>
    <n v="123719.60526315789"/>
    <x v="3"/>
    <n v="19"/>
    <n v="123719.60526315789"/>
    <n v="19.228571428571428"/>
    <n v="122248.94130757802"/>
  </r>
  <r>
    <d v="2020-05-24T00:00:00"/>
    <x v="4"/>
    <n v="31854"/>
    <n v="2915533.5"/>
    <n v="20"/>
    <n v="2015"/>
    <n v="1803"/>
    <n v="145776.67499999999"/>
    <x v="2"/>
    <n v="19.428571428571427"/>
    <n v="150064.2242647059"/>
    <n v="19.228571428571428"/>
    <n v="151625.07057949482"/>
  </r>
  <r>
    <d v="2020-05-31T00:00:00"/>
    <x v="4"/>
    <n v="32359.5"/>
    <n v="2991999"/>
    <n v="20"/>
    <n v="2060"/>
    <n v="1826"/>
    <n v="149599.95000000001"/>
    <x v="0"/>
    <n v="20"/>
    <n v="149599.95000000001"/>
    <n v="19.228571428571428"/>
    <n v="155601.73105497772"/>
  </r>
  <r>
    <d v="2020-05-30T00:00:00"/>
    <x v="4"/>
    <n v="39867"/>
    <n v="3654166.5"/>
    <n v="20"/>
    <n v="2451"/>
    <n v="2178"/>
    <n v="182708.32500000001"/>
    <x v="0"/>
    <n v="20"/>
    <n v="182708.32500000001"/>
    <n v="19.228571428571428"/>
    <n v="190038.37667161963"/>
  </r>
  <r>
    <d v="2020-05-28T00:00:00"/>
    <x v="4"/>
    <n v="31974"/>
    <n v="3004213.5"/>
    <n v="20"/>
    <n v="2088"/>
    <n v="1848"/>
    <n v="150210.67499999999"/>
    <x v="0"/>
    <n v="20"/>
    <n v="150210.67499999999"/>
    <n v="19.228571428571428"/>
    <n v="156236.95765230313"/>
  </r>
  <r>
    <d v="2020-05-16T00:00:00"/>
    <x v="5"/>
    <n v="321412.5"/>
    <n v="32235864"/>
    <n v="129"/>
    <n v="17914"/>
    <n v="16631"/>
    <n v="249890.41860465117"/>
    <x v="1"/>
    <n v="129"/>
    <n v="249890.41860465117"/>
    <n v="128.91428571428571"/>
    <n v="250056.56914893616"/>
  </r>
  <r>
    <d v="2020-05-19T00:00:00"/>
    <x v="5"/>
    <n v="276568.5"/>
    <n v="27093624"/>
    <n v="129"/>
    <n v="16191"/>
    <n v="15102"/>
    <n v="210028.09302325582"/>
    <x v="2"/>
    <n v="129"/>
    <n v="210028.09302325582"/>
    <n v="128.91428571428571"/>
    <n v="210167.73936170214"/>
  </r>
  <r>
    <d v="2020-05-17T00:00:00"/>
    <x v="5"/>
    <n v="269029.5"/>
    <n v="26659930.5"/>
    <n v="129"/>
    <n v="15744"/>
    <n v="14685"/>
    <n v="206666.12790697673"/>
    <x v="1"/>
    <n v="129"/>
    <n v="206666.12790697673"/>
    <n v="128.91428571428571"/>
    <n v="206803.53889627659"/>
  </r>
  <r>
    <d v="2020-05-09T00:00:00"/>
    <x v="5"/>
    <n v="285972"/>
    <n v="29768199"/>
    <n v="129"/>
    <n v="16420"/>
    <n v="15169"/>
    <n v="230761.23255813954"/>
    <x v="3"/>
    <n v="129"/>
    <n v="230761.23255813954"/>
    <n v="128.91428571428571"/>
    <n v="230914.66422872341"/>
  </r>
  <r>
    <d v="2020-05-04T00:00:00"/>
    <x v="5"/>
    <n v="283942.5"/>
    <n v="29357940"/>
    <n v="129"/>
    <n v="16525"/>
    <n v="15310"/>
    <n v="227580.93023255814"/>
    <x v="3"/>
    <n v="129"/>
    <n v="227580.93023255814"/>
    <n v="128.91428571428571"/>
    <n v="227732.24734042553"/>
  </r>
  <r>
    <d v="2020-04-29T00:00:00"/>
    <x v="5"/>
    <n v="298059"/>
    <n v="30869287.5"/>
    <n v="128"/>
    <n v="17368"/>
    <n v="16077"/>
    <n v="241166.30859375"/>
    <x v="4"/>
    <n v="128.66666666666666"/>
    <n v="239916.7422279793"/>
    <n v="128.91428571428571"/>
    <n v="239455.90924202127"/>
  </r>
  <r>
    <d v="2020-05-02T00:00:00"/>
    <x v="5"/>
    <n v="232903.5"/>
    <n v="24342016.5"/>
    <n v="129"/>
    <n v="14009"/>
    <n v="12920"/>
    <n v="188697.8023255814"/>
    <x v="4"/>
    <n v="128.66666666666666"/>
    <n v="189186.65673575131"/>
    <n v="128.91428571428571"/>
    <n v="188823.26628989363"/>
  </r>
  <r>
    <d v="2020-05-26T00:00:00"/>
    <x v="5"/>
    <n v="276966"/>
    <n v="27872617.898850001"/>
    <n v="129"/>
    <n v="16459"/>
    <n v="15355"/>
    <n v="216066.80541744188"/>
    <x v="0"/>
    <n v="129"/>
    <n v="216066.80541744188"/>
    <n v="128.91428571428571"/>
    <n v="216210.46685721411"/>
  </r>
  <r>
    <d v="2020-05-01T00:00:00"/>
    <x v="5"/>
    <n v="296149.5"/>
    <n v="31053316.5"/>
    <n v="129"/>
    <n v="17002"/>
    <n v="15570"/>
    <n v="240723.38372093023"/>
    <x v="4"/>
    <n v="128.66666666666666"/>
    <n v="241347.01943005182"/>
    <n v="128.91428571428571"/>
    <n v="240883.43916223405"/>
  </r>
  <r>
    <d v="2020-05-12T00:00:00"/>
    <x v="5"/>
    <n v="281796"/>
    <n v="29042520"/>
    <n v="129"/>
    <n v="16387"/>
    <n v="15322"/>
    <n v="225135.81395348837"/>
    <x v="1"/>
    <n v="129"/>
    <n v="225135.81395348837"/>
    <n v="128.91428571428571"/>
    <n v="225285.50531914894"/>
  </r>
  <r>
    <d v="2020-05-21T00:00:00"/>
    <x v="5"/>
    <n v="288936"/>
    <n v="27852900"/>
    <n v="129"/>
    <n v="16373"/>
    <n v="15223"/>
    <n v="215913.95348837209"/>
    <x v="2"/>
    <n v="129"/>
    <n v="215913.95348837209"/>
    <n v="128.91428571428571"/>
    <n v="216057.51329787236"/>
  </r>
  <r>
    <d v="2020-05-20T00:00:00"/>
    <x v="5"/>
    <n v="300151.5"/>
    <n v="29368771.617449999"/>
    <n v="129"/>
    <n v="17095"/>
    <n v="15919"/>
    <n v="227664.8962593023"/>
    <x v="2"/>
    <n v="129"/>
    <n v="227664.8962593023"/>
    <n v="128.91428571428571"/>
    <n v="227816.26919564494"/>
  </r>
  <r>
    <d v="2020-05-05T00:00:00"/>
    <x v="5"/>
    <n v="262734"/>
    <n v="27278441.145"/>
    <n v="129"/>
    <n v="15665"/>
    <n v="14501"/>
    <n v="211460.78406976743"/>
    <x v="3"/>
    <n v="129"/>
    <n v="211460.78406976743"/>
    <n v="128.91428571428571"/>
    <n v="211601.38299534575"/>
  </r>
  <r>
    <d v="2020-04-28T00:00:00"/>
    <x v="5"/>
    <n v="286002"/>
    <n v="29159032.5"/>
    <n v="128"/>
    <n v="16450"/>
    <n v="15320"/>
    <n v="227804.94140625"/>
    <x v="4"/>
    <n v="128.66666666666666"/>
    <n v="226624.6049222798"/>
    <n v="128.91428571428571"/>
    <n v="226189.30352393616"/>
  </r>
  <r>
    <d v="2020-05-13T00:00:00"/>
    <x v="5"/>
    <n v="258459"/>
    <n v="26467453.5"/>
    <n v="129"/>
    <n v="15304"/>
    <n v="14315"/>
    <n v="205174.05813953487"/>
    <x v="1"/>
    <n v="129"/>
    <n v="205174.05813953487"/>
    <n v="128.91428571428571"/>
    <n v="205310.47706117021"/>
  </r>
  <r>
    <d v="2020-05-03T00:00:00"/>
    <x v="5"/>
    <n v="274083"/>
    <n v="28427001"/>
    <n v="129"/>
    <n v="15778"/>
    <n v="14624"/>
    <n v="220364.34883720931"/>
    <x v="4"/>
    <n v="128.66666666666666"/>
    <n v="220935.24093264251"/>
    <n v="128.91428571428571"/>
    <n v="220510.86768617021"/>
  </r>
  <r>
    <d v="2020-05-06T00:00:00"/>
    <x v="5"/>
    <n v="277512"/>
    <n v="28770810.105599999"/>
    <n v="129"/>
    <n v="16376"/>
    <n v="15197"/>
    <n v="223029.53570232558"/>
    <x v="3"/>
    <n v="129"/>
    <n v="223029.53570232558"/>
    <n v="128.91428571428571"/>
    <n v="223177.82661702129"/>
  </r>
  <r>
    <d v="2020-05-23T00:00:00"/>
    <x v="5"/>
    <n v="356982"/>
    <n v="35103926.711549997"/>
    <n v="129"/>
    <n v="19856"/>
    <n v="18325"/>
    <n v="272123.46288023255"/>
    <x v="2"/>
    <n v="129"/>
    <n v="272123.46288023255"/>
    <n v="128.91428571428571"/>
    <n v="272304.39603374334"/>
  </r>
  <r>
    <d v="2020-05-25T00:00:00"/>
    <x v="5"/>
    <n v="266983.5"/>
    <n v="27165913.5"/>
    <n v="129"/>
    <n v="15822"/>
    <n v="14753"/>
    <n v="210588.47674418605"/>
    <x v="0"/>
    <n v="129"/>
    <n v="210588.47674418605"/>
    <n v="128.91428571428571"/>
    <n v="210728.49567819148"/>
  </r>
  <r>
    <d v="2020-04-30T00:00:00"/>
    <x v="5"/>
    <n v="311131.5"/>
    <n v="32418879"/>
    <n v="129"/>
    <n v="18042"/>
    <n v="16631"/>
    <n v="251309.13953488372"/>
    <x v="4"/>
    <n v="128.66666666666666"/>
    <n v="251960.1994818653"/>
    <n v="128.91428571428571"/>
    <n v="251476.23337765958"/>
  </r>
  <r>
    <d v="2020-05-10T00:00:00"/>
    <x v="5"/>
    <n v="287206.5"/>
    <n v="29536176.10605"/>
    <n v="129"/>
    <n v="16437"/>
    <n v="15285"/>
    <n v="228962.6054732558"/>
    <x v="3"/>
    <n v="129"/>
    <n v="228962.6054732558"/>
    <n v="128.91428571428571"/>
    <n v="229114.84124817155"/>
  </r>
  <r>
    <d v="2020-05-08T00:00:00"/>
    <x v="5"/>
    <n v="370092"/>
    <n v="38091556.5"/>
    <n v="129"/>
    <n v="20452"/>
    <n v="18857"/>
    <n v="295283.38372093026"/>
    <x v="3"/>
    <n v="129"/>
    <n v="295283.38372093026"/>
    <n v="128.91428571428571"/>
    <n v="295479.71575797873"/>
  </r>
  <r>
    <d v="2020-05-07T00:00:00"/>
    <x v="5"/>
    <n v="247813.5"/>
    <n v="25325271"/>
    <n v="129"/>
    <n v="14582"/>
    <n v="13512"/>
    <n v="196319.93023255814"/>
    <x v="3"/>
    <n v="129"/>
    <n v="196319.93023255814"/>
    <n v="128.91428571428571"/>
    <n v="196450.46210106384"/>
  </r>
  <r>
    <d v="2020-05-24T00:00:00"/>
    <x v="5"/>
    <n v="287740.5"/>
    <n v="28188534"/>
    <n v="129"/>
    <n v="16432"/>
    <n v="15345"/>
    <n v="218515.76744186046"/>
    <x v="2"/>
    <n v="129"/>
    <n v="218515.76744186046"/>
    <n v="128.91428571428571"/>
    <n v="218661.05718085106"/>
  </r>
  <r>
    <d v="2020-05-16T00:00:00"/>
    <x v="6"/>
    <n v="408810"/>
    <n v="42323631"/>
    <n v="125"/>
    <n v="22291"/>
    <n v="20635"/>
    <n v="338589.04800000001"/>
    <x v="1"/>
    <n v="125"/>
    <n v="338589.04800000001"/>
    <n v="124.74285714285715"/>
    <n v="339287.00984883186"/>
  </r>
  <r>
    <d v="2020-05-19T00:00:00"/>
    <x v="6"/>
    <n v="362536.5"/>
    <n v="37023243"/>
    <n v="125"/>
    <n v="20771"/>
    <n v="19338"/>
    <n v="296185.94400000002"/>
    <x v="2"/>
    <n v="125"/>
    <n v="296185.94400000002"/>
    <n v="124.74285714285715"/>
    <n v="296796.49679340358"/>
  </r>
  <r>
    <d v="2020-05-17T00:00:00"/>
    <x v="6"/>
    <n v="357072"/>
    <n v="36834567"/>
    <n v="125"/>
    <n v="20079"/>
    <n v="18721"/>
    <n v="294676.53600000002"/>
    <x v="1"/>
    <n v="125"/>
    <n v="294676.53600000002"/>
    <n v="124.74285714285715"/>
    <n v="295283.97732478241"/>
  </r>
  <r>
    <d v="2020-05-09T00:00:00"/>
    <x v="6"/>
    <n v="359214"/>
    <n v="38693427"/>
    <n v="125"/>
    <n v="20132"/>
    <n v="18617"/>
    <n v="309547.41600000003"/>
    <x v="3"/>
    <n v="125"/>
    <n v="309547.41600000003"/>
    <n v="124.74285714285715"/>
    <n v="310185.51191021531"/>
  </r>
  <r>
    <d v="2020-05-04T00:00:00"/>
    <x v="6"/>
    <n v="360255"/>
    <n v="38406954"/>
    <n v="125"/>
    <n v="20495"/>
    <n v="18964"/>
    <n v="307255.63199999998"/>
    <x v="3"/>
    <n v="125"/>
    <n v="307255.63199999998"/>
    <n v="124.74285714285715"/>
    <n v="307889.00366468163"/>
  </r>
  <r>
    <d v="2020-04-29T00:00:00"/>
    <x v="6"/>
    <n v="387220.5"/>
    <n v="41559384"/>
    <n v="125"/>
    <n v="21863"/>
    <n v="20160"/>
    <n v="332475.07199999999"/>
    <x v="4"/>
    <n v="125"/>
    <n v="332475.07199999999"/>
    <n v="124.74285714285715"/>
    <n v="333160.43060009158"/>
  </r>
  <r>
    <d v="2020-05-02T00:00:00"/>
    <x v="6"/>
    <n v="296580"/>
    <n v="31843737"/>
    <n v="125"/>
    <n v="16932"/>
    <n v="15601"/>
    <n v="254749.89600000001"/>
    <x v="4"/>
    <n v="125"/>
    <n v="254749.89600000001"/>
    <n v="124.74285714285715"/>
    <n v="255275.03321117727"/>
  </r>
  <r>
    <d v="2020-05-26T00:00:00"/>
    <x v="6"/>
    <n v="369861"/>
    <n v="38365960.5"/>
    <n v="124"/>
    <n v="21153"/>
    <n v="19673"/>
    <n v="309402.90725806454"/>
    <x v="0"/>
    <n v="124"/>
    <n v="309402.90725806454"/>
    <n v="124.74285714285715"/>
    <n v="307560.37963811267"/>
  </r>
  <r>
    <d v="2020-05-01T00:00:00"/>
    <x v="6"/>
    <n v="372504"/>
    <n v="40077193.5"/>
    <n v="125"/>
    <n v="20602"/>
    <n v="18845"/>
    <n v="320617.54800000001"/>
    <x v="4"/>
    <n v="125"/>
    <n v="320617.54800000001"/>
    <n v="124.74285714285715"/>
    <n v="321278.46369674761"/>
  </r>
  <r>
    <d v="2020-05-12T00:00:00"/>
    <x v="6"/>
    <n v="373392"/>
    <n v="39578577"/>
    <n v="125"/>
    <n v="21106"/>
    <n v="19651"/>
    <n v="316628.61599999998"/>
    <x v="1"/>
    <n v="125"/>
    <n v="316628.61599999998"/>
    <n v="124.74285714285715"/>
    <n v="317281.30897846998"/>
  </r>
  <r>
    <d v="2020-05-21T00:00:00"/>
    <x v="6"/>
    <n v="378043.5"/>
    <n v="37902156.57"/>
    <n v="125"/>
    <n v="20911"/>
    <n v="19358"/>
    <n v="303217.25255999999"/>
    <x v="2"/>
    <n v="125"/>
    <n v="303217.25255999999"/>
    <n v="124.74285714285715"/>
    <n v="303842.29957627115"/>
  </r>
  <r>
    <d v="2020-05-20T00:00:00"/>
    <x v="6"/>
    <n v="388668"/>
    <n v="39639309"/>
    <n v="125"/>
    <n v="21674"/>
    <n v="20155"/>
    <n v="317114.47200000001"/>
    <x v="2"/>
    <n v="125"/>
    <n v="317114.47200000001"/>
    <n v="124.74285714285715"/>
    <n v="317768.16651397158"/>
  </r>
  <r>
    <d v="2020-05-05T00:00:00"/>
    <x v="6"/>
    <n v="333792"/>
    <n v="35671734"/>
    <n v="125"/>
    <n v="18944"/>
    <n v="17541"/>
    <n v="285373.87199999997"/>
    <x v="3"/>
    <n v="125"/>
    <n v="285373.87199999997"/>
    <n v="124.74285714285715"/>
    <n v="285962.13696747593"/>
  </r>
  <r>
    <d v="2020-04-28T00:00:00"/>
    <x v="6"/>
    <n v="376060.5"/>
    <n v="39918028.5"/>
    <n v="125"/>
    <n v="20914"/>
    <n v="19479"/>
    <n v="319344.228"/>
    <x v="4"/>
    <n v="125"/>
    <n v="319344.228"/>
    <n v="124.74285714285715"/>
    <n v="320002.51889601466"/>
  </r>
  <r>
    <d v="2020-05-13T00:00:00"/>
    <x v="6"/>
    <n v="350068.5"/>
    <n v="37197115.5"/>
    <n v="125"/>
    <n v="19965"/>
    <n v="18573"/>
    <n v="297576.924"/>
    <x v="1"/>
    <n v="125"/>
    <n v="297576.924"/>
    <n v="124.74285714285715"/>
    <n v="298190.3441365094"/>
  </r>
  <r>
    <d v="2020-05-31T00:00:00"/>
    <x v="5"/>
    <n v="294337.5"/>
    <n v="29327766"/>
    <n v="129"/>
    <n v="17235"/>
    <n v="16052"/>
    <n v="227347.02325581395"/>
    <x v="0"/>
    <n v="129"/>
    <n v="227347.02325581395"/>
    <n v="128.91428571428571"/>
    <n v="227498.18484042553"/>
  </r>
  <r>
    <d v="2020-05-03T00:00:00"/>
    <x v="6"/>
    <n v="342666"/>
    <n v="36631999.5"/>
    <n v="125"/>
    <n v="18861"/>
    <n v="17420"/>
    <n v="293055.99599999998"/>
    <x v="4"/>
    <n v="125"/>
    <n v="293055.99599999998"/>
    <n v="124.74285714285715"/>
    <n v="293660.09677049931"/>
  </r>
  <r>
    <d v="2020-05-30T00:00:00"/>
    <x v="5"/>
    <n v="364882.5"/>
    <n v="35724493.5"/>
    <n v="129"/>
    <n v="20243"/>
    <n v="18711"/>
    <n v="276934.0581395349"/>
    <x v="0"/>
    <n v="129"/>
    <n v="276934.0581395349"/>
    <n v="128.91428571428571"/>
    <n v="277118.18982712767"/>
  </r>
  <r>
    <d v="2020-05-06T00:00:00"/>
    <x v="6"/>
    <n v="355278"/>
    <n v="38092344"/>
    <n v="125"/>
    <n v="20218"/>
    <n v="18647"/>
    <n v="304738.75199999998"/>
    <x v="3"/>
    <n v="125"/>
    <n v="304738.75199999998"/>
    <n v="124.74285714285715"/>
    <n v="305366.93540998624"/>
  </r>
  <r>
    <d v="2020-05-23T00:00:00"/>
    <x v="6"/>
    <n v="456885"/>
    <n v="46408080"/>
    <n v="125"/>
    <n v="24574"/>
    <n v="22609"/>
    <n v="371264.64"/>
    <x v="2"/>
    <n v="125"/>
    <n v="371264.64"/>
    <n v="124.74285714285715"/>
    <n v="372029.95877233165"/>
  </r>
  <r>
    <d v="2020-05-28T00:00:00"/>
    <x v="5"/>
    <n v="278491.5"/>
    <n v="28151004.75"/>
    <n v="129"/>
    <n v="16453"/>
    <n v="15289"/>
    <n v="218224.84302325582"/>
    <x v="0"/>
    <n v="129"/>
    <n v="218224.84302325582"/>
    <n v="128.91428571428571"/>
    <n v="218369.93932845746"/>
  </r>
  <r>
    <d v="2020-05-25T00:00:00"/>
    <x v="6"/>
    <n v="349734"/>
    <n v="36883428"/>
    <n v="124"/>
    <n v="20358"/>
    <n v="18890"/>
    <n v="297447"/>
    <x v="0"/>
    <n v="124"/>
    <n v="297447"/>
    <n v="124.74285714285715"/>
    <n v="295675.67109482363"/>
  </r>
  <r>
    <d v="2020-04-30T00:00:00"/>
    <x v="6"/>
    <n v="401580"/>
    <n v="43028734.5"/>
    <n v="125"/>
    <n v="22368"/>
    <n v="20625"/>
    <n v="344229.87599999999"/>
    <x v="4"/>
    <n v="125"/>
    <n v="344229.87599999999"/>
    <n v="124.74285714285715"/>
    <n v="344939.465758131"/>
  </r>
  <r>
    <d v="2020-05-10T00:00:00"/>
    <x v="6"/>
    <n v="368649"/>
    <n v="39010875"/>
    <n v="125"/>
    <n v="20368"/>
    <n v="18884"/>
    <n v="312087"/>
    <x v="3"/>
    <n v="125"/>
    <n v="312087"/>
    <n v="124.74285714285715"/>
    <n v="312730.33096655976"/>
  </r>
  <r>
    <d v="2020-05-08T00:00:00"/>
    <x v="6"/>
    <n v="463530"/>
    <n v="49123180.5"/>
    <n v="125"/>
    <n v="24620"/>
    <n v="22641"/>
    <n v="392985.44400000002"/>
    <x v="3"/>
    <n v="125"/>
    <n v="392985.44400000002"/>
    <n v="124.74285714285715"/>
    <n v="393795.53767750802"/>
  </r>
  <r>
    <d v="2020-05-07T00:00:00"/>
    <x v="6"/>
    <n v="319110"/>
    <n v="33763989"/>
    <n v="125"/>
    <n v="18014"/>
    <n v="16675"/>
    <n v="270111.91200000001"/>
    <x v="3"/>
    <n v="125"/>
    <n v="270111.91200000001"/>
    <n v="124.74285714285715"/>
    <n v="270668.71621621621"/>
  </r>
  <r>
    <d v="2020-05-24T00:00:00"/>
    <x v="6"/>
    <n v="375744"/>
    <n v="38191381.5"/>
    <n v="125"/>
    <n v="21004"/>
    <n v="19556"/>
    <n v="305531.05200000003"/>
    <x v="2"/>
    <n v="125"/>
    <n v="305531.05200000003"/>
    <n v="124.74285714285715"/>
    <n v="306160.86864406778"/>
  </r>
  <r>
    <d v="2020-05-16T00:00:00"/>
    <x v="7"/>
    <n v="81331.5"/>
    <n v="6652179"/>
    <n v="36"/>
    <n v="5286"/>
    <n v="4867"/>
    <n v="184782.75"/>
    <x v="1"/>
    <n v="36"/>
    <n v="184782.75"/>
    <n v="36.142857142857146"/>
    <n v="184052.38339920947"/>
  </r>
  <r>
    <d v="2020-05-19T00:00:00"/>
    <x v="7"/>
    <n v="75796.5"/>
    <n v="6173463"/>
    <n v="36"/>
    <n v="5094"/>
    <n v="4716"/>
    <n v="171485.08333333334"/>
    <x v="2"/>
    <n v="36"/>
    <n v="171485.08333333334"/>
    <n v="36.142857142857146"/>
    <n v="170807.27667984189"/>
  </r>
  <r>
    <d v="2020-05-17T00:00:00"/>
    <x v="7"/>
    <n v="72861"/>
    <n v="5952802.5"/>
    <n v="36"/>
    <n v="4918"/>
    <n v="4554"/>
    <n v="165355.625"/>
    <x v="1"/>
    <n v="36"/>
    <n v="165355.625"/>
    <n v="36.142857142857146"/>
    <n v="164702.04545454544"/>
  </r>
  <r>
    <d v="2020-05-09T00:00:00"/>
    <x v="7"/>
    <n v="83373"/>
    <n v="7253427"/>
    <n v="36"/>
    <n v="5413"/>
    <n v="4959"/>
    <n v="201484.08333333334"/>
    <x v="3"/>
    <n v="36"/>
    <n v="201484.08333333334"/>
    <n v="36.142857142857146"/>
    <n v="200687.70355731223"/>
  </r>
  <r>
    <d v="2020-05-04T00:00:00"/>
    <x v="7"/>
    <n v="64108.5"/>
    <n v="5561452.5"/>
    <n v="36"/>
    <n v="4508"/>
    <n v="4149"/>
    <n v="154484.79166666666"/>
    <x v="3"/>
    <n v="36"/>
    <n v="154484.79166666666"/>
    <n v="36.142857142857146"/>
    <n v="153874.17984189722"/>
  </r>
  <r>
    <d v="2020-04-29T00:00:00"/>
    <x v="7"/>
    <n v="74707.5"/>
    <n v="6454458"/>
    <n v="36"/>
    <n v="4937"/>
    <n v="4561"/>
    <n v="179290.5"/>
    <x v="4"/>
    <n v="36"/>
    <n v="179290.5"/>
    <n v="36.142857142857146"/>
    <n v="178581.84189723319"/>
  </r>
  <r>
    <d v="2020-05-02T00:00:00"/>
    <x v="7"/>
    <n v="46216.5"/>
    <n v="4118251.5"/>
    <n v="36"/>
    <n v="3442"/>
    <n v="3147"/>
    <n v="114395.875"/>
    <x v="4"/>
    <n v="36"/>
    <n v="114395.875"/>
    <n v="36.142857142857146"/>
    <n v="113943.71739130434"/>
  </r>
  <r>
    <d v="2020-05-26T00:00:00"/>
    <x v="7"/>
    <n v="67726.5"/>
    <n v="5864989.5"/>
    <n v="36"/>
    <n v="4770"/>
    <n v="4424"/>
    <n v="162916.375"/>
    <x v="0"/>
    <n v="36.571428571428569"/>
    <n v="160370.806640625"/>
    <n v="36.142857142857146"/>
    <n v="162272.43675889328"/>
  </r>
  <r>
    <d v="2020-05-01T00:00:00"/>
    <x v="7"/>
    <n v="82228.5"/>
    <n v="7032225"/>
    <n v="36"/>
    <n v="5457"/>
    <n v="4916"/>
    <n v="195339.58333333334"/>
    <x v="4"/>
    <n v="36"/>
    <n v="195339.58333333334"/>
    <n v="36.142857142857146"/>
    <n v="194567.49011857706"/>
  </r>
  <r>
    <d v="2020-05-12T00:00:00"/>
    <x v="7"/>
    <n v="64390.5"/>
    <n v="5523145.5"/>
    <n v="36"/>
    <n v="4418"/>
    <n v="4088"/>
    <n v="153420.70833333334"/>
    <x v="1"/>
    <n v="36"/>
    <n v="153420.70833333334"/>
    <n v="36.142857142857146"/>
    <n v="152814.30237154147"/>
  </r>
  <r>
    <d v="2020-05-21T00:00:00"/>
    <x v="7"/>
    <n v="73126.5"/>
    <n v="5864085"/>
    <n v="36"/>
    <n v="4816"/>
    <n v="4452"/>
    <n v="162891.25"/>
    <x v="2"/>
    <n v="36"/>
    <n v="162891.25"/>
    <n v="36.142857142857146"/>
    <n v="162247.41106719367"/>
  </r>
  <r>
    <d v="2020-05-20T00:00:00"/>
    <x v="7"/>
    <n v="99631.5"/>
    <n v="7121946"/>
    <n v="36"/>
    <n v="5914"/>
    <n v="5384"/>
    <n v="197831.83333333334"/>
    <x v="2"/>
    <n v="36"/>
    <n v="197831.83333333334"/>
    <n v="36.142857142857146"/>
    <n v="197049.88932806323"/>
  </r>
  <r>
    <d v="2020-05-05T00:00:00"/>
    <x v="7"/>
    <n v="66396"/>
    <n v="5770539"/>
    <n v="36"/>
    <n v="4575"/>
    <n v="4206"/>
    <n v="160292.75"/>
    <x v="3"/>
    <n v="36"/>
    <n v="160292.75"/>
    <n v="36.142857142857146"/>
    <n v="159659.18181818179"/>
  </r>
  <r>
    <d v="2020-04-28T00:00:00"/>
    <x v="7"/>
    <n v="73147.5"/>
    <n v="6288246"/>
    <n v="36"/>
    <n v="4923"/>
    <n v="4560"/>
    <n v="174673.5"/>
    <x v="4"/>
    <n v="36"/>
    <n v="174673.5"/>
    <n v="36.142857142857146"/>
    <n v="173983.09090909088"/>
  </r>
  <r>
    <d v="2020-05-13T00:00:00"/>
    <x v="7"/>
    <n v="73062"/>
    <n v="6333828"/>
    <n v="36"/>
    <n v="4967"/>
    <n v="4583"/>
    <n v="175939.66666666666"/>
    <x v="1"/>
    <n v="36"/>
    <n v="175939.66666666666"/>
    <n v="36.142857142857146"/>
    <n v="175244.25296442685"/>
  </r>
  <r>
    <d v="2020-05-31T00:00:00"/>
    <x v="6"/>
    <n v="379663.5"/>
    <n v="39380178"/>
    <n v="124"/>
    <n v="21392"/>
    <n v="19869"/>
    <n v="317582.08064516127"/>
    <x v="0"/>
    <n v="124"/>
    <n v="317582.08064516127"/>
    <n v="124.74285714285715"/>
    <n v="315690.84516720107"/>
  </r>
  <r>
    <d v="2020-05-03T00:00:00"/>
    <x v="7"/>
    <n v="70581"/>
    <n v="6221320.5"/>
    <n v="36"/>
    <n v="4751"/>
    <n v="4370"/>
    <n v="172814.45833333334"/>
    <x v="4"/>
    <n v="36"/>
    <n v="172814.45833333334"/>
    <n v="36.142857142857146"/>
    <n v="172131.39723320157"/>
  </r>
  <r>
    <d v="2020-05-30T00:00:00"/>
    <x v="6"/>
    <n v="453123"/>
    <n v="46370904"/>
    <n v="124"/>
    <n v="24325"/>
    <n v="22469"/>
    <n v="373958.90322580643"/>
    <x v="0"/>
    <n v="124"/>
    <n v="373958.90322580643"/>
    <n v="124.74285714285715"/>
    <n v="371731.93770041224"/>
  </r>
  <r>
    <d v="2020-05-06T00:00:00"/>
    <x v="7"/>
    <n v="63012"/>
    <n v="5454121.5"/>
    <n v="36"/>
    <n v="4384"/>
    <n v="4025"/>
    <n v="151503.375"/>
    <x v="3"/>
    <n v="36"/>
    <n v="151503.375"/>
    <n v="36.142857142857146"/>
    <n v="150904.54743083002"/>
  </r>
  <r>
    <d v="2020-05-23T00:00:00"/>
    <x v="7"/>
    <n v="89556"/>
    <n v="7173117"/>
    <n v="36"/>
    <n v="5651"/>
    <n v="5212"/>
    <n v="199253.25"/>
    <x v="2"/>
    <n v="36"/>
    <n v="199253.25"/>
    <n v="36.142857142857146"/>
    <n v="198465.68774703555"/>
  </r>
  <r>
    <d v="2020-05-28T00:00:00"/>
    <x v="6"/>
    <n v="364638"/>
    <n v="37947688.5"/>
    <n v="124"/>
    <n v="20868"/>
    <n v="19342"/>
    <n v="306029.74596774194"/>
    <x v="0"/>
    <n v="124"/>
    <n v="306029.74596774194"/>
    <n v="124.74285714285715"/>
    <n v="304207.30588639487"/>
  </r>
  <r>
    <d v="2020-05-25T00:00:00"/>
    <x v="7"/>
    <n v="66316.5"/>
    <n v="5704650"/>
    <n v="36"/>
    <n v="4641"/>
    <n v="4274"/>
    <n v="158462.5"/>
    <x v="0"/>
    <n v="36.571428571428569"/>
    <n v="155986.5234375"/>
    <n v="36.142857142857146"/>
    <n v="157836.16600790512"/>
  </r>
  <r>
    <d v="2020-04-30T00:00:00"/>
    <x v="7"/>
    <n v="78235.5"/>
    <n v="6819594"/>
    <n v="36"/>
    <n v="5143"/>
    <n v="4715"/>
    <n v="189433.16666666666"/>
    <x v="4"/>
    <n v="36"/>
    <n v="189433.16666666666"/>
    <n v="36.142857142857146"/>
    <n v="188684.418972332"/>
  </r>
  <r>
    <d v="2020-05-10T00:00:00"/>
    <x v="7"/>
    <n v="88311"/>
    <n v="7726069.5"/>
    <n v="36"/>
    <n v="5746"/>
    <n v="5277"/>
    <n v="214613.04166666666"/>
    <x v="3"/>
    <n v="36"/>
    <n v="214613.04166666666"/>
    <n v="36.142857142857146"/>
    <n v="213764.76877470355"/>
  </r>
  <r>
    <d v="2020-05-08T00:00:00"/>
    <x v="7"/>
    <n v="61804.5"/>
    <n v="5365708.5"/>
    <n v="36"/>
    <n v="4199"/>
    <n v="3867"/>
    <n v="149047.45833333334"/>
    <x v="3"/>
    <n v="36"/>
    <n v="149047.45833333334"/>
    <n v="36.142857142857146"/>
    <n v="148458.33794466403"/>
  </r>
  <r>
    <d v="2020-05-07T00:00:00"/>
    <x v="7"/>
    <n v="71067"/>
    <n v="6175837.5"/>
    <n v="36"/>
    <n v="4826"/>
    <n v="4426"/>
    <n v="171551.04166666666"/>
    <x v="3"/>
    <n v="36"/>
    <n v="171551.04166666666"/>
    <n v="36.142857142857146"/>
    <n v="170872.97430830039"/>
  </r>
  <r>
    <d v="2020-05-24T00:00:00"/>
    <x v="7"/>
    <n v="74649"/>
    <n v="6098236.5"/>
    <n v="36"/>
    <n v="4915"/>
    <n v="4562"/>
    <n v="169395.45833333334"/>
    <x v="2"/>
    <n v="36"/>
    <n v="169395.45833333334"/>
    <n v="36.142857142857146"/>
    <n v="168725.91106719367"/>
  </r>
  <r>
    <d v="2020-05-16T00:00:00"/>
    <x v="8"/>
    <n v="44560.5"/>
    <n v="4025148"/>
    <n v="21"/>
    <n v="2427"/>
    <n v="2213"/>
    <n v="191673.71428571429"/>
    <x v="1"/>
    <n v="21"/>
    <n v="191673.71428571429"/>
    <n v="20.885714285714286"/>
    <n v="192722.54445964433"/>
  </r>
  <r>
    <d v="2020-05-19T00:00:00"/>
    <x v="8"/>
    <n v="38250"/>
    <n v="3552937.5"/>
    <n v="21"/>
    <n v="2245"/>
    <n v="2053"/>
    <n v="169187.5"/>
    <x v="2"/>
    <n v="21"/>
    <n v="169187.5"/>
    <n v="20.885714285714286"/>
    <n v="170113.28659370725"/>
  </r>
  <r>
    <d v="2020-05-17T00:00:00"/>
    <x v="8"/>
    <n v="34830"/>
    <n v="3191155.5"/>
    <n v="21"/>
    <n v="2054"/>
    <n v="1883"/>
    <n v="151959.78571428571"/>
    <x v="1"/>
    <n v="21"/>
    <n v="151959.78571428571"/>
    <n v="20.885714285714286"/>
    <n v="152791.30300957593"/>
  </r>
  <r>
    <d v="2020-05-09T00:00:00"/>
    <x v="8"/>
    <n v="32239.5"/>
    <n v="3084892.5"/>
    <n v="21"/>
    <n v="1891"/>
    <n v="1709"/>
    <n v="146899.64285714287"/>
    <x v="3"/>
    <n v="20.571428571428573"/>
    <n v="149960.05208333331"/>
    <n v="20.885714285714286"/>
    <n v="147703.47127222983"/>
  </r>
  <r>
    <d v="2020-05-04T00:00:00"/>
    <x v="8"/>
    <n v="30780"/>
    <n v="2817853.5"/>
    <n v="20"/>
    <n v="1804"/>
    <n v="1638"/>
    <n v="140892.67499999999"/>
    <x v="3"/>
    <n v="20.571428571428573"/>
    <n v="136978.98958333331"/>
    <n v="20.885714285714286"/>
    <n v="134917.74623803009"/>
  </r>
  <r>
    <d v="2020-04-29T00:00:00"/>
    <x v="8"/>
    <n v="29142"/>
    <n v="2627595"/>
    <n v="19"/>
    <n v="1676"/>
    <n v="1516"/>
    <n v="138294.47368421053"/>
    <x v="4"/>
    <n v="19.666666666666668"/>
    <n v="133606.5254237288"/>
    <n v="20.885714285714286"/>
    <n v="125808.24213406292"/>
  </r>
  <r>
    <d v="2020-05-02T00:00:00"/>
    <x v="8"/>
    <n v="26428.5"/>
    <n v="2470465.5"/>
    <n v="20"/>
    <n v="1613"/>
    <n v="1457"/>
    <n v="123523.27499999999"/>
    <x v="4"/>
    <n v="19.666666666666668"/>
    <n v="125616.88983050847"/>
    <n v="20.885714285714286"/>
    <n v="118284.94186046511"/>
  </r>
  <r>
    <d v="2020-05-26T00:00:00"/>
    <x v="8"/>
    <n v="40744.5"/>
    <n v="3700311"/>
    <n v="21"/>
    <n v="2418"/>
    <n v="2215"/>
    <n v="176205.28571428571"/>
    <x v="0"/>
    <n v="21.714285714285715"/>
    <n v="170409.05921052632"/>
    <n v="20.885714285714286"/>
    <n v="177169.47332421341"/>
  </r>
  <r>
    <d v="2020-05-01T00:00:00"/>
    <x v="8"/>
    <n v="46620"/>
    <n v="4293241.5"/>
    <n v="20"/>
    <n v="2468"/>
    <n v="2221"/>
    <n v="214662.07500000001"/>
    <x v="4"/>
    <n v="19.666666666666668"/>
    <n v="218300.41525423728"/>
    <n v="20.885714285714286"/>
    <n v="205558.7585499316"/>
  </r>
  <r>
    <d v="2020-05-12T00:00:00"/>
    <x v="8"/>
    <n v="32419.5"/>
    <n v="3080614.5"/>
    <n v="21"/>
    <n v="1926"/>
    <n v="1745"/>
    <n v="146695.92857142858"/>
    <x v="1"/>
    <n v="21"/>
    <n v="146695.92857142858"/>
    <n v="20.885714285714286"/>
    <n v="147498.64227086183"/>
  </r>
  <r>
    <d v="2020-05-21T00:00:00"/>
    <x v="8"/>
    <n v="40819.5"/>
    <n v="3810394.5"/>
    <n v="21"/>
    <n v="2335"/>
    <n v="2126"/>
    <n v="181447.35714285713"/>
    <x v="2"/>
    <n v="21"/>
    <n v="181447.35714285713"/>
    <n v="20.885714285714286"/>
    <n v="182440.22913816691"/>
  </r>
  <r>
    <d v="2020-05-20T00:00:00"/>
    <x v="8"/>
    <n v="41391"/>
    <n v="3918987"/>
    <n v="21"/>
    <n v="2410"/>
    <n v="2202"/>
    <n v="186618.42857142858"/>
    <x v="2"/>
    <n v="21"/>
    <n v="186618.42857142858"/>
    <n v="20.885714285714286"/>
    <n v="187639.59644322845"/>
  </r>
  <r>
    <d v="2020-05-05T00:00:00"/>
    <x v="8"/>
    <n v="29482.5"/>
    <n v="2648688"/>
    <n v="20"/>
    <n v="1757"/>
    <n v="1596"/>
    <n v="132434.4"/>
    <x v="3"/>
    <n v="20.571428571428573"/>
    <n v="128755.66666666666"/>
    <n v="20.885714285714286"/>
    <n v="126818.16689466484"/>
  </r>
  <r>
    <d v="2020-04-28T00:00:00"/>
    <x v="8"/>
    <n v="32181"/>
    <n v="2863600.5"/>
    <n v="19"/>
    <n v="1846"/>
    <n v="1681"/>
    <n v="150715.81578947368"/>
    <x v="4"/>
    <n v="19.666666666666668"/>
    <n v="145606.80508474575"/>
    <n v="20.885714285714286"/>
    <n v="137108.0950752394"/>
  </r>
  <r>
    <d v="2020-05-13T00:00:00"/>
    <x v="8"/>
    <n v="35535"/>
    <n v="3288069"/>
    <n v="21"/>
    <n v="2061"/>
    <n v="1876"/>
    <n v="156574.71428571429"/>
    <x v="1"/>
    <n v="21"/>
    <n v="156574.71428571429"/>
    <n v="20.885714285714286"/>
    <n v="157431.48426812585"/>
  </r>
  <r>
    <d v="2020-05-31T00:00:00"/>
    <x v="7"/>
    <n v="76234.5"/>
    <n v="6500848.5"/>
    <n v="37"/>
    <n v="5215"/>
    <n v="4848"/>
    <n v="175698.60810810811"/>
    <x v="0"/>
    <n v="36.571428571428569"/>
    <n v="177757.576171875"/>
    <n v="36.142857142857146"/>
    <n v="179865.37351778656"/>
  </r>
  <r>
    <d v="2020-05-03T00:00:00"/>
    <x v="8"/>
    <n v="29935.5"/>
    <n v="2720002.5"/>
    <n v="20"/>
    <n v="1716"/>
    <n v="1561"/>
    <n v="136000.125"/>
    <x v="4"/>
    <n v="19.666666666666668"/>
    <n v="138305.21186440677"/>
    <n v="20.885714285714286"/>
    <n v="130232.67783857729"/>
  </r>
  <r>
    <d v="2020-05-30T00:00:00"/>
    <x v="7"/>
    <n v="106926"/>
    <n v="9098386.5"/>
    <n v="37"/>
    <n v="6645"/>
    <n v="6122"/>
    <n v="245902.33783783784"/>
    <x v="0"/>
    <n v="36.571428571428569"/>
    <n v="248784.005859375"/>
    <n v="36.142857142857146"/>
    <n v="251734.01383399207"/>
  </r>
  <r>
    <d v="2020-05-06T00:00:00"/>
    <x v="8"/>
    <n v="30342"/>
    <n v="2738127"/>
    <n v="20"/>
    <n v="1747"/>
    <n v="1570"/>
    <n v="136906.35"/>
    <x v="3"/>
    <n v="20.571428571428573"/>
    <n v="133103.39583333331"/>
    <n v="20.885714285714286"/>
    <n v="131100.47195622436"/>
  </r>
  <r>
    <d v="2020-05-23T00:00:00"/>
    <x v="8"/>
    <n v="42999"/>
    <n v="3883215"/>
    <n v="21"/>
    <n v="2460"/>
    <n v="2226"/>
    <n v="184915"/>
    <x v="2"/>
    <n v="21"/>
    <n v="184915"/>
    <n v="20.885714285714286"/>
    <n v="185926.8467852257"/>
  </r>
  <r>
    <d v="2020-05-28T00:00:00"/>
    <x v="7"/>
    <n v="69945"/>
    <n v="6101931"/>
    <n v="37"/>
    <n v="4840"/>
    <n v="4475"/>
    <n v="164917.05405405405"/>
    <x v="0"/>
    <n v="36.571428571428569"/>
    <n v="166849.67578125"/>
    <n v="36.142857142857146"/>
    <n v="168828.13043478259"/>
  </r>
  <r>
    <d v="2020-05-25T00:00:00"/>
    <x v="8"/>
    <n v="38740.5"/>
    <n v="3561655.5"/>
    <n v="21"/>
    <n v="2330"/>
    <n v="2142"/>
    <n v="169602.64285714287"/>
    <x v="0"/>
    <n v="21.714285714285715"/>
    <n v="164023.60855263157"/>
    <n v="20.885714285714286"/>
    <n v="170530.70109439123"/>
  </r>
  <r>
    <d v="2020-04-30T00:00:00"/>
    <x v="8"/>
    <n v="31231.5"/>
    <n v="2853310.5"/>
    <n v="20"/>
    <n v="1756"/>
    <n v="1586"/>
    <n v="142665.52499999999"/>
    <x v="4"/>
    <n v="19.666666666666668"/>
    <n v="145083.5847457627"/>
    <n v="20.885714285714286"/>
    <n v="136615.41381668946"/>
  </r>
  <r>
    <d v="2020-05-10T00:00:00"/>
    <x v="8"/>
    <n v="37489.5"/>
    <n v="3549097.5"/>
    <n v="21"/>
    <n v="2120"/>
    <n v="1921"/>
    <n v="169004.64285714287"/>
    <x v="3"/>
    <n v="20.571428571428573"/>
    <n v="172525.57291666666"/>
    <n v="20.885714285714286"/>
    <n v="169929.42886456908"/>
  </r>
  <r>
    <d v="2020-05-08T00:00:00"/>
    <x v="8"/>
    <n v="34399.5"/>
    <n v="3201358.5"/>
    <n v="21"/>
    <n v="1957"/>
    <n v="1755"/>
    <n v="152445.64285714287"/>
    <x v="3"/>
    <n v="20.571428571428573"/>
    <n v="155621.59375"/>
    <n v="20.885714285714286"/>
    <n v="153279.81874145006"/>
  </r>
  <r>
    <d v="2020-05-07T00:00:00"/>
    <x v="8"/>
    <n v="32851.5"/>
    <n v="2934504"/>
    <n v="21"/>
    <n v="1879"/>
    <n v="1695"/>
    <n v="139738.28571428571"/>
    <x v="3"/>
    <n v="20.571428571428573"/>
    <n v="142649.5"/>
    <n v="20.885714285714286"/>
    <n v="140502.92749658003"/>
  </r>
  <r>
    <d v="2020-05-24T00:00:00"/>
    <x v="8"/>
    <n v="38194.5"/>
    <n v="3449302.5"/>
    <n v="21"/>
    <n v="2254"/>
    <n v="2061"/>
    <n v="164252.5"/>
    <x v="2"/>
    <n v="21"/>
    <n v="164252.5"/>
    <n v="20.885714285714286"/>
    <n v="165151.28248974009"/>
  </r>
  <r>
    <d v="2020-05-31T00:00:00"/>
    <x v="8"/>
    <n v="42423"/>
    <n v="3994153.5"/>
    <n v="23"/>
    <n v="2522"/>
    <n v="2295"/>
    <n v="173658.84782608695"/>
    <x v="0"/>
    <n v="21.714285714285715"/>
    <n v="183941.27960526315"/>
    <n v="20.885714285714286"/>
    <n v="191238.53967168264"/>
  </r>
  <r>
    <d v="2020-05-30T00:00:00"/>
    <x v="8"/>
    <n v="48286.5"/>
    <n v="4456441.5"/>
    <n v="22"/>
    <n v="2793"/>
    <n v="2539"/>
    <n v="202565.52272727274"/>
    <x v="0"/>
    <n v="21.714285714285715"/>
    <n v="205230.85855263157"/>
    <n v="20.885714285714286"/>
    <n v="213372.7120383037"/>
  </r>
  <r>
    <d v="2020-05-28T00:00:00"/>
    <x v="8"/>
    <n v="41442"/>
    <n v="3893680.5"/>
    <n v="22"/>
    <n v="2454"/>
    <n v="2239"/>
    <n v="176985.47727272726"/>
    <x v="0"/>
    <n v="21.714285714285715"/>
    <n v="179314.23355263157"/>
    <n v="20.885714285714286"/>
    <n v="186427.93091655266"/>
  </r>
  <r>
    <d v="2020-05-16T00:00:00"/>
    <x v="9"/>
    <n v="18600"/>
    <n v="1601425.5"/>
    <n v="15"/>
    <n v="1111"/>
    <n v="992"/>
    <n v="106761.7"/>
    <x v="1"/>
    <n v="15"/>
    <n v="106761.7"/>
    <n v="15.771428571428572"/>
    <n v="101539.66032608695"/>
  </r>
  <r>
    <d v="2020-05-19T00:00:00"/>
    <x v="9"/>
    <n v="16638"/>
    <n v="1364847"/>
    <n v="16"/>
    <n v="1012"/>
    <n v="900"/>
    <n v="85302.9375"/>
    <x v="2"/>
    <n v="16.571428571428573"/>
    <n v="82361.45689655171"/>
    <n v="15.771428571428572"/>
    <n v="86539.211956521729"/>
  </r>
  <r>
    <d v="2020-05-17T00:00:00"/>
    <x v="9"/>
    <n v="15609"/>
    <n v="1377577.5"/>
    <n v="15"/>
    <n v="971"/>
    <n v="856"/>
    <n v="91838.5"/>
    <x v="1"/>
    <n v="15"/>
    <n v="91838.5"/>
    <n v="15.771428571428572"/>
    <n v="87346.399456521729"/>
  </r>
  <r>
    <d v="2020-05-09T00:00:00"/>
    <x v="9"/>
    <n v="13948.5"/>
    <n v="1222932"/>
    <n v="15"/>
    <n v="849"/>
    <n v="740"/>
    <n v="81528.800000000003"/>
    <x v="3"/>
    <n v="15"/>
    <n v="81528.800000000003"/>
    <n v="15.771428571428572"/>
    <n v="77540.978260869568"/>
  </r>
  <r>
    <d v="2020-05-04T00:00:00"/>
    <x v="9"/>
    <n v="12301.5"/>
    <n v="1085211"/>
    <n v="15"/>
    <n v="750"/>
    <n v="647"/>
    <n v="72347.399999999994"/>
    <x v="3"/>
    <n v="15"/>
    <n v="72347.399999999994"/>
    <n v="15.771428571428572"/>
    <n v="68808.668478260865"/>
  </r>
  <r>
    <d v="2020-04-29T00:00:00"/>
    <x v="9"/>
    <n v="13014"/>
    <n v="1115992.5"/>
    <n v="15"/>
    <n v="786"/>
    <n v="695"/>
    <n v="74399.5"/>
    <x v="4"/>
    <n v="15"/>
    <n v="74399.5"/>
    <n v="15.771428571428572"/>
    <n v="70760.394021739121"/>
  </r>
  <r>
    <d v="2020-05-02T00:00:00"/>
    <x v="9"/>
    <n v="12313.5"/>
    <n v="1053220.5"/>
    <n v="15"/>
    <n v="751"/>
    <n v="651"/>
    <n v="70214.7"/>
    <x v="4"/>
    <n v="15"/>
    <n v="70214.7"/>
    <n v="15.771428571428572"/>
    <n v="66780.28532608696"/>
  </r>
  <r>
    <d v="2020-05-26T00:00:00"/>
    <x v="9"/>
    <n v="17391"/>
    <n v="1489132.5"/>
    <n v="17"/>
    <n v="1140"/>
    <n v="1016"/>
    <n v="87596.029411764699"/>
    <x v="0"/>
    <n v="17"/>
    <n v="87596.029411764699"/>
    <n v="15.771428571428572"/>
    <n v="94419.633152173905"/>
  </r>
  <r>
    <d v="2020-05-01T00:00:00"/>
    <x v="9"/>
    <n v="17113.5"/>
    <n v="1465842"/>
    <n v="15"/>
    <n v="996"/>
    <n v="888"/>
    <n v="97722.8"/>
    <x v="4"/>
    <n v="15"/>
    <n v="97722.8"/>
    <n v="15.771428571428572"/>
    <n v="92942.880434782608"/>
  </r>
  <r>
    <d v="2020-05-12T00:00:00"/>
    <x v="9"/>
    <n v="12802.5"/>
    <n v="1123830"/>
    <n v="15"/>
    <n v="845"/>
    <n v="743"/>
    <n v="74922"/>
    <x v="1"/>
    <n v="15"/>
    <n v="74922"/>
    <n v="15.771428571428572"/>
    <n v="71257.336956521729"/>
  </r>
  <r>
    <d v="2020-05-21T00:00:00"/>
    <x v="9"/>
    <n v="16554"/>
    <n v="1380751.5"/>
    <n v="17"/>
    <n v="1045"/>
    <n v="930"/>
    <n v="81220.676470588238"/>
    <x v="2"/>
    <n v="16.571428571428573"/>
    <n v="83321.211206896551"/>
    <n v="15.771428571428572"/>
    <n v="87547.649456521729"/>
  </r>
  <r>
    <d v="2020-05-20T00:00:00"/>
    <x v="9"/>
    <n v="17329.5"/>
    <n v="1430254.5"/>
    <n v="16"/>
    <n v="1050"/>
    <n v="938"/>
    <n v="89390.90625"/>
    <x v="2"/>
    <n v="16.571428571428573"/>
    <n v="86308.461206896551"/>
    <n v="15.771428571428572"/>
    <n v="90686.426630434784"/>
  </r>
  <r>
    <d v="2020-05-05T00:00:00"/>
    <x v="9"/>
    <n v="15987"/>
    <n v="1384179"/>
    <n v="15"/>
    <n v="922"/>
    <n v="823"/>
    <n v="92278.6"/>
    <x v="3"/>
    <n v="15"/>
    <n v="92278.6"/>
    <n v="15.771428571428572"/>
    <n v="87764.972826086945"/>
  </r>
  <r>
    <d v="2020-04-28T00:00:00"/>
    <x v="9"/>
    <n v="13303.5"/>
    <n v="1102887"/>
    <n v="15"/>
    <n v="780"/>
    <n v="690"/>
    <n v="73525.8"/>
    <x v="4"/>
    <n v="15"/>
    <n v="73525.8"/>
    <n v="15.771428571428572"/>
    <n v="69929.429347826081"/>
  </r>
  <r>
    <d v="2020-05-13T00:00:00"/>
    <x v="9"/>
    <n v="14305.5"/>
    <n v="1243507.5"/>
    <n v="15"/>
    <n v="898"/>
    <n v="795"/>
    <n v="82900.5"/>
    <x v="1"/>
    <n v="15"/>
    <n v="82900.5"/>
    <n v="15.771428571428572"/>
    <n v="78845.584239130432"/>
  </r>
  <r>
    <d v="2020-05-03T00:00:00"/>
    <x v="9"/>
    <n v="12924"/>
    <n v="1120009.5"/>
    <n v="15"/>
    <n v="784"/>
    <n v="696"/>
    <n v="74667.3"/>
    <x v="4"/>
    <n v="15"/>
    <n v="74667.3"/>
    <n v="15.771428571428572"/>
    <n v="71015.095108695648"/>
  </r>
  <r>
    <d v="2020-05-06T00:00:00"/>
    <x v="9"/>
    <n v="14061"/>
    <n v="1221057"/>
    <n v="15"/>
    <n v="839"/>
    <n v="733"/>
    <n v="81403.8"/>
    <x v="3"/>
    <n v="15"/>
    <n v="81403.8"/>
    <n v="15.771428571428572"/>
    <n v="77422.092391304337"/>
  </r>
  <r>
    <d v="2020-05-23T00:00:00"/>
    <x v="9"/>
    <n v="21958.5"/>
    <n v="1854001.5"/>
    <n v="17"/>
    <n v="1294"/>
    <n v="1155"/>
    <n v="109058.91176470589"/>
    <x v="2"/>
    <n v="16.571428571428573"/>
    <n v="111879.40086206896"/>
    <n v="15.771428571428572"/>
    <n v="117554.44293478261"/>
  </r>
  <r>
    <d v="2020-05-25T00:00:00"/>
    <x v="9"/>
    <n v="17211"/>
    <n v="1507867.5"/>
    <n v="17"/>
    <n v="1142"/>
    <n v="1020"/>
    <n v="88698.088235294112"/>
    <x v="0"/>
    <n v="17"/>
    <n v="88698.088235294112"/>
    <n v="15.771428571428572"/>
    <n v="95607.540760869553"/>
  </r>
  <r>
    <d v="2020-04-30T00:00:00"/>
    <x v="9"/>
    <n v="12753"/>
    <n v="1103068.5"/>
    <n v="15"/>
    <n v="791"/>
    <n v="691"/>
    <n v="73537.899999999994"/>
    <x v="4"/>
    <n v="15"/>
    <n v="73537.899999999994"/>
    <n v="15.771428571428572"/>
    <n v="69940.9375"/>
  </r>
  <r>
    <d v="2020-05-10T00:00:00"/>
    <x v="9"/>
    <n v="16435.5"/>
    <n v="1471537.5"/>
    <n v="15"/>
    <n v="950"/>
    <n v="848"/>
    <n v="98102.5"/>
    <x v="3"/>
    <n v="15"/>
    <n v="98102.5"/>
    <n v="15.771428571428572"/>
    <n v="93304.008152173905"/>
  </r>
  <r>
    <d v="2020-05-08T00:00:00"/>
    <x v="9"/>
    <n v="14494.5"/>
    <n v="1269786"/>
    <n v="15"/>
    <n v="879"/>
    <n v="768"/>
    <n v="84652.4"/>
    <x v="3"/>
    <n v="15"/>
    <n v="84652.4"/>
    <n v="15.771428571428572"/>
    <n v="80511.793478260865"/>
  </r>
  <r>
    <d v="2020-05-07T00:00:00"/>
    <x v="9"/>
    <n v="12705"/>
    <n v="1123894.5"/>
    <n v="15"/>
    <n v="805"/>
    <n v="703"/>
    <n v="74926.3"/>
    <x v="3"/>
    <n v="15"/>
    <n v="74926.3"/>
    <n v="15.771428571428572"/>
    <n v="71261.426630434784"/>
  </r>
  <r>
    <d v="2020-05-24T00:00:00"/>
    <x v="9"/>
    <n v="18075"/>
    <n v="1548099"/>
    <n v="17"/>
    <n v="1128"/>
    <n v="1001"/>
    <n v="91064.647058823524"/>
    <x v="2"/>
    <n v="16.571428571428573"/>
    <n v="93419.767241379304"/>
    <n v="15.771428571428572"/>
    <n v="98158.451086956513"/>
  </r>
  <r>
    <d v="2020-05-16T00:00:00"/>
    <x v="10"/>
    <n v="13120.5"/>
    <n v="1215033"/>
    <n v="15"/>
    <n v="747"/>
    <n v="647"/>
    <n v="81002.2"/>
    <x v="1"/>
    <n v="15"/>
    <n v="81002.2"/>
    <n v="15.151515151515152"/>
    <n v="80192.178"/>
  </r>
  <r>
    <d v="2020-05-19T00:00:00"/>
    <x v="10"/>
    <n v="16237.5"/>
    <n v="1403047.5"/>
    <n v="15"/>
    <n v="930"/>
    <n v="827"/>
    <n v="93536.5"/>
    <x v="2"/>
    <n v="15"/>
    <n v="93536.5"/>
    <n v="15.151515151515152"/>
    <n v="92601.134999999995"/>
  </r>
  <r>
    <d v="2020-05-17T00:00:00"/>
    <x v="10"/>
    <n v="11967"/>
    <n v="1060489.5"/>
    <n v="15"/>
    <n v="692"/>
    <n v="591"/>
    <n v="70699.3"/>
    <x v="1"/>
    <n v="15"/>
    <n v="70699.3"/>
    <n v="15.151515151515152"/>
    <n v="69992.307000000001"/>
  </r>
  <r>
    <d v="2020-05-09T00:00:00"/>
    <x v="10"/>
    <n v="12037.5"/>
    <n v="1081216.5"/>
    <n v="15"/>
    <n v="623"/>
    <n v="535"/>
    <n v="72081.100000000006"/>
    <x v="3"/>
    <n v="15"/>
    <n v="72081.100000000006"/>
    <n v="15.151515151515152"/>
    <n v="71360.28899999999"/>
  </r>
  <r>
    <d v="2020-05-04T00:00:00"/>
    <x v="10"/>
    <n v="7087.5"/>
    <n v="610855.5"/>
    <n v="15"/>
    <n v="390"/>
    <n v="315"/>
    <n v="40723.699999999997"/>
    <x v="3"/>
    <n v="15"/>
    <n v="40723.699999999997"/>
    <n v="15.151515151515152"/>
    <n v="40316.462999999996"/>
  </r>
  <r>
    <d v="2020-04-29T00:00:00"/>
    <x v="11"/>
    <n v="25816.5"/>
    <n v="2360914.5"/>
    <n v="18"/>
    <n v="1599"/>
    <n v="1450"/>
    <n v="131161.91666666666"/>
    <x v="4"/>
    <n v="18.666666666666668"/>
    <n v="126477.56249999999"/>
    <n v="19.228571428571428"/>
    <n v="122781.58618127786"/>
  </r>
  <r>
    <d v="2020-05-02T00:00:00"/>
    <x v="10"/>
    <n v="4624.5"/>
    <n v="433243.5"/>
    <n v="15"/>
    <n v="274"/>
    <n v="203"/>
    <n v="28882.9"/>
    <x v="4"/>
    <n v="15"/>
    <n v="28882.9"/>
    <n v="15.151515151515152"/>
    <n v="28594.071"/>
  </r>
  <r>
    <d v="2020-05-26T00:00:00"/>
    <x v="10"/>
    <n v="12259.5"/>
    <n v="1152054"/>
    <n v="15"/>
    <n v="812"/>
    <n v="711"/>
    <n v="76803.600000000006"/>
    <x v="0"/>
    <n v="15.571428571428571"/>
    <n v="73985.119266055044"/>
    <n v="15.151515151515152"/>
    <n v="76035.563999999998"/>
  </r>
  <r>
    <d v="2020-05-01T00:00:00"/>
    <x v="10"/>
    <n v="5446.5"/>
    <n v="505572"/>
    <n v="15"/>
    <n v="294"/>
    <n v="225"/>
    <n v="33704.800000000003"/>
    <x v="4"/>
    <n v="15"/>
    <n v="33704.800000000003"/>
    <n v="15.151515151515152"/>
    <n v="33367.752"/>
  </r>
  <r>
    <d v="2020-05-12T00:00:00"/>
    <x v="10"/>
    <n v="11296.5"/>
    <n v="989632.5"/>
    <n v="15"/>
    <n v="624"/>
    <n v="538"/>
    <n v="65975.5"/>
    <x v="1"/>
    <n v="15"/>
    <n v="65975.5"/>
    <n v="15.151515151515152"/>
    <n v="65315.744999999995"/>
  </r>
  <r>
    <d v="2020-05-21T00:00:00"/>
    <x v="10"/>
    <n v="12135"/>
    <n v="1103623.5"/>
    <n v="15"/>
    <n v="749"/>
    <n v="652"/>
    <n v="73574.899999999994"/>
    <x v="2"/>
    <n v="15"/>
    <n v="73574.899999999994"/>
    <n v="15.151515151515152"/>
    <n v="72839.150999999998"/>
  </r>
  <r>
    <d v="2020-05-20T00:00:00"/>
    <x v="10"/>
    <n v="12630"/>
    <n v="1104858"/>
    <n v="15"/>
    <n v="760"/>
    <n v="664"/>
    <n v="73657.2"/>
    <x v="2"/>
    <n v="15"/>
    <n v="73657.2"/>
    <n v="15.151515151515152"/>
    <n v="72920.627999999997"/>
  </r>
  <r>
    <d v="2020-05-05T00:00:00"/>
    <x v="10"/>
    <n v="8223"/>
    <n v="694593"/>
    <n v="15"/>
    <n v="455"/>
    <n v="381"/>
    <n v="46306.2"/>
    <x v="3"/>
    <n v="15"/>
    <n v="46306.2"/>
    <n v="15.151515151515152"/>
    <n v="45843.137999999999"/>
  </r>
  <r>
    <d v="2020-04-28T00:00:00"/>
    <x v="11"/>
    <n v="25149"/>
    <n v="2277072"/>
    <n v="18"/>
    <n v="1505"/>
    <n v="1368"/>
    <n v="126504"/>
    <x v="4"/>
    <n v="18.666666666666668"/>
    <n v="121985.99999999999"/>
    <n v="19.228571428571428"/>
    <n v="118421.2778603269"/>
  </r>
  <r>
    <d v="2020-05-13T00:00:00"/>
    <x v="10"/>
    <n v="10401"/>
    <n v="949912.5"/>
    <n v="15"/>
    <n v="599"/>
    <n v="515"/>
    <n v="63327.5"/>
    <x v="1"/>
    <n v="15"/>
    <n v="63327.5"/>
    <n v="15.151515151515152"/>
    <n v="62694.224999999999"/>
  </r>
  <r>
    <d v="2020-05-31T00:00:00"/>
    <x v="9"/>
    <n v="17689.5"/>
    <n v="1592119.5"/>
    <n v="17"/>
    <n v="1186"/>
    <n v="1054"/>
    <n v="93654.088235294112"/>
    <x v="0"/>
    <n v="17"/>
    <n v="93654.088235294112"/>
    <n v="15.771428571428572"/>
    <n v="100949.60597826086"/>
  </r>
  <r>
    <d v="2020-05-03T00:00:00"/>
    <x v="10"/>
    <n v="8127"/>
    <n v="665302.5"/>
    <n v="15"/>
    <n v="455"/>
    <n v="384"/>
    <n v="44353.5"/>
    <x v="4"/>
    <n v="15"/>
    <n v="44353.5"/>
    <n v="15.151515151515152"/>
    <n v="43909.964999999997"/>
  </r>
  <r>
    <d v="2020-05-30T00:00:00"/>
    <x v="9"/>
    <n v="27250.5"/>
    <n v="2457252"/>
    <n v="17"/>
    <n v="1697"/>
    <n v="1499"/>
    <n v="144544.23529411765"/>
    <x v="0"/>
    <n v="17"/>
    <n v="144544.23529411765"/>
    <n v="15.771428571428572"/>
    <n v="155804.02173913043"/>
  </r>
  <r>
    <d v="2020-05-06T00:00:00"/>
    <x v="10"/>
    <n v="8464.5"/>
    <n v="739291.5"/>
    <n v="15"/>
    <n v="467"/>
    <n v="389"/>
    <n v="49286.1"/>
    <x v="3"/>
    <n v="15"/>
    <n v="49286.1"/>
    <n v="15.151515151515152"/>
    <n v="48793.238999999994"/>
  </r>
  <r>
    <d v="2020-05-23T00:00:00"/>
    <x v="10"/>
    <n v="14167.5"/>
    <n v="1315075.5"/>
    <n v="15"/>
    <n v="840"/>
    <n v="725"/>
    <n v="87671.7"/>
    <x v="2"/>
    <n v="15"/>
    <n v="87671.7"/>
    <n v="15.151515151515152"/>
    <n v="86794.982999999993"/>
  </r>
  <r>
    <d v="2020-05-28T00:00:00"/>
    <x v="9"/>
    <n v="16500"/>
    <n v="1487928"/>
    <n v="17"/>
    <n v="1097"/>
    <n v="968"/>
    <n v="87525.176470588238"/>
    <x v="0"/>
    <n v="17"/>
    <n v="87525.176470588238"/>
    <n v="15.771428571428572"/>
    <n v="94343.260869565216"/>
  </r>
  <r>
    <d v="2020-05-25T00:00:00"/>
    <x v="10"/>
    <n v="13260"/>
    <n v="1230687"/>
    <n v="15"/>
    <n v="835"/>
    <n v="736"/>
    <n v="82045.8"/>
    <x v="0"/>
    <n v="15.571428571428571"/>
    <n v="79034.944954128441"/>
    <n v="15.151515151515152"/>
    <n v="81225.34199999999"/>
  </r>
  <r>
    <d v="2020-04-30T00:00:00"/>
    <x v="10"/>
    <n v="4285.5"/>
    <n v="404691"/>
    <n v="15"/>
    <n v="262"/>
    <n v="195"/>
    <n v="26979.4"/>
    <x v="4"/>
    <n v="15"/>
    <n v="26979.4"/>
    <n v="15.151515151515152"/>
    <n v="26709.606"/>
  </r>
  <r>
    <d v="2020-05-10T00:00:00"/>
    <x v="10"/>
    <n v="13440"/>
    <n v="1198285.5"/>
    <n v="15"/>
    <n v="706"/>
    <n v="608"/>
    <n v="79885.7"/>
    <x v="3"/>
    <n v="15"/>
    <n v="79885.7"/>
    <n v="15.151515151515152"/>
    <n v="79086.842999999993"/>
  </r>
  <r>
    <d v="2020-05-08T00:00:00"/>
    <x v="10"/>
    <n v="9058.5"/>
    <n v="798759"/>
    <n v="15"/>
    <n v="492"/>
    <n v="412"/>
    <n v="53250.6"/>
    <x v="3"/>
    <n v="15"/>
    <n v="53250.6"/>
    <n v="15.151515151515152"/>
    <n v="52718.093999999997"/>
  </r>
  <r>
    <d v="2020-05-07T00:00:00"/>
    <x v="10"/>
    <n v="8719.5"/>
    <n v="769276.5"/>
    <n v="15"/>
    <n v="480"/>
    <n v="398"/>
    <n v="51285.1"/>
    <x v="3"/>
    <n v="15"/>
    <n v="51285.1"/>
    <n v="15.151515151515152"/>
    <n v="50772.248999999996"/>
  </r>
  <r>
    <d v="2020-05-24T00:00:00"/>
    <x v="10"/>
    <n v="12666"/>
    <n v="1184865"/>
    <n v="15"/>
    <n v="779"/>
    <n v="673"/>
    <n v="78991"/>
    <x v="2"/>
    <n v="15"/>
    <n v="78991"/>
    <n v="15.151515151515152"/>
    <n v="78201.09"/>
  </r>
  <r>
    <d v="2020-05-16T00:00:00"/>
    <x v="11"/>
    <n v="34563"/>
    <n v="2922883.5"/>
    <n v="19"/>
    <n v="2039"/>
    <n v="1868"/>
    <n v="153835.97368421053"/>
    <x v="1"/>
    <n v="19"/>
    <n v="153835.97368421053"/>
    <n v="19.228571428571428"/>
    <n v="152007.31426448739"/>
  </r>
  <r>
    <d v="2020-05-19T00:00:00"/>
    <x v="11"/>
    <n v="28882.5"/>
    <n v="2446530"/>
    <n v="19"/>
    <n v="1831"/>
    <n v="1667"/>
    <n v="128764.73684210527"/>
    <x v="2"/>
    <n v="19"/>
    <n v="128764.73684210527"/>
    <n v="19.228571428571428"/>
    <n v="127234.10104011888"/>
  </r>
  <r>
    <d v="2020-05-17T00:00:00"/>
    <x v="11"/>
    <n v="28275"/>
    <n v="2435632.5"/>
    <n v="19"/>
    <n v="1790"/>
    <n v="1633"/>
    <n v="128191.18421052632"/>
    <x v="1"/>
    <n v="19"/>
    <n v="128191.18421052632"/>
    <n v="19.228571428571428"/>
    <n v="126667.36627043091"/>
  </r>
  <r>
    <d v="2020-05-09T00:00:00"/>
    <x v="11"/>
    <n v="26271"/>
    <n v="2384937"/>
    <n v="19"/>
    <n v="1542"/>
    <n v="1412"/>
    <n v="125523"/>
    <x v="3"/>
    <n v="19"/>
    <n v="125523"/>
    <n v="19.228571428571428"/>
    <n v="124030.89895988113"/>
  </r>
  <r>
    <d v="2020-05-04T00:00:00"/>
    <x v="11"/>
    <n v="23587.5"/>
    <n v="2155668"/>
    <n v="19"/>
    <n v="1479"/>
    <n v="1346"/>
    <n v="113456.21052631579"/>
    <x v="3"/>
    <n v="19"/>
    <n v="113456.21052631579"/>
    <n v="19.228571428571428"/>
    <n v="112107.5482912333"/>
  </r>
  <r>
    <d v="2020-05-02T00:00:00"/>
    <x v="11"/>
    <n v="18427.5"/>
    <n v="1682851.5"/>
    <n v="19"/>
    <n v="1206"/>
    <n v="1080"/>
    <n v="88571.131578947374"/>
    <x v="4"/>
    <n v="18.666666666666668"/>
    <n v="90152.75892857142"/>
    <n v="19.228571428571428"/>
    <n v="87518.28008915305"/>
  </r>
  <r>
    <d v="2020-05-26T00:00:00"/>
    <x v="11"/>
    <n v="27156"/>
    <n v="2410803"/>
    <n v="20"/>
    <n v="1814"/>
    <n v="1655"/>
    <n v="120540.15"/>
    <x v="0"/>
    <n v="20.142857142857142"/>
    <n v="119685.25531914894"/>
    <n v="19.228571428571428"/>
    <n v="125376.08469539376"/>
  </r>
  <r>
    <d v="2020-05-01T00:00:00"/>
    <x v="11"/>
    <n v="35190"/>
    <n v="3168510"/>
    <n v="19"/>
    <n v="1987"/>
    <n v="1791"/>
    <n v="166763.68421052632"/>
    <x v="4"/>
    <n v="18.666666666666668"/>
    <n v="169741.60714285713"/>
    <n v="19.228571428571428"/>
    <n v="164781.35215453195"/>
  </r>
  <r>
    <d v="2020-05-12T00:00:00"/>
    <x v="11"/>
    <n v="25483.5"/>
    <n v="2243160"/>
    <n v="19"/>
    <n v="1598"/>
    <n v="1454"/>
    <n v="118061.05263157895"/>
    <x v="1"/>
    <n v="19"/>
    <n v="118061.05263157895"/>
    <n v="19.228571428571428"/>
    <n v="116657.65230312037"/>
  </r>
  <r>
    <d v="2020-05-21T00:00:00"/>
    <x v="11"/>
    <n v="25362"/>
    <n v="2198935.5"/>
    <n v="19"/>
    <n v="1650"/>
    <n v="1505"/>
    <n v="115733.44736842105"/>
    <x v="2"/>
    <n v="19"/>
    <n v="115733.44736842105"/>
    <n v="19.228571428571428"/>
    <n v="114357.71545319466"/>
  </r>
  <r>
    <d v="2020-05-20T00:00:00"/>
    <x v="11"/>
    <n v="28849.5"/>
    <n v="2520759"/>
    <n v="19"/>
    <n v="1823"/>
    <n v="1678"/>
    <n v="132671.52631578947"/>
    <x v="2"/>
    <n v="19"/>
    <n v="132671.52631578947"/>
    <n v="19.228571428571428"/>
    <n v="131094.45022288262"/>
  </r>
  <r>
    <d v="2020-05-05T00:00:00"/>
    <x v="11"/>
    <n v="26367"/>
    <n v="2380333.5"/>
    <n v="19"/>
    <n v="1622"/>
    <n v="1482"/>
    <n v="125280.71052631579"/>
    <x v="3"/>
    <n v="19"/>
    <n v="125280.71052631579"/>
    <n v="19.228571428571428"/>
    <n v="123791.4895988113"/>
  </r>
  <r>
    <d v="2020-05-13T00:00:00"/>
    <x v="11"/>
    <n v="25539"/>
    <n v="2263651.5"/>
    <n v="19"/>
    <n v="1605"/>
    <n v="1447"/>
    <n v="119139.55263157895"/>
    <x v="1"/>
    <n v="19"/>
    <n v="119139.55263157895"/>
    <n v="19.228571428571428"/>
    <n v="117723.33209509659"/>
  </r>
  <r>
    <d v="2020-05-31T00:00:00"/>
    <x v="10"/>
    <n v="14808"/>
    <n v="1336789.5"/>
    <n v="16"/>
    <n v="917"/>
    <n v="802"/>
    <n v="83549.34375"/>
    <x v="0"/>
    <n v="15.571428571428571"/>
    <n v="85848.866972477059"/>
    <n v="15.151515151515152"/>
    <n v="88228.106999999989"/>
  </r>
  <r>
    <d v="2020-05-03T00:00:00"/>
    <x v="11"/>
    <n v="21343.5"/>
    <n v="1906557"/>
    <n v="19"/>
    <n v="1314"/>
    <n v="1192"/>
    <n v="100345.10526315789"/>
    <x v="4"/>
    <n v="18.666666666666668"/>
    <n v="102136.98214285713"/>
    <n v="19.228571428571428"/>
    <n v="99152.295690936109"/>
  </r>
  <r>
    <d v="2020-05-30T00:00:00"/>
    <x v="10"/>
    <n v="17946"/>
    <n v="1609090.5"/>
    <n v="16"/>
    <n v="1048"/>
    <n v="918"/>
    <n v="100568.15625"/>
    <x v="0"/>
    <n v="15.571428571428571"/>
    <n v="103336.08715596331"/>
    <n v="15.151515151515152"/>
    <n v="106199.973"/>
  </r>
  <r>
    <d v="2020-05-06T00:00:00"/>
    <x v="11"/>
    <n v="24337.5"/>
    <n v="2159350.5"/>
    <n v="19"/>
    <n v="1509"/>
    <n v="1374"/>
    <n v="113650.02631578948"/>
    <x v="3"/>
    <n v="19"/>
    <n v="113650.02631578948"/>
    <n v="19.228571428571428"/>
    <n v="112299.0601783061"/>
  </r>
  <r>
    <d v="2020-05-23T00:00:00"/>
    <x v="11"/>
    <n v="36997.5"/>
    <n v="3089140.5"/>
    <n v="19"/>
    <n v="2195"/>
    <n v="1999"/>
    <n v="162586.34210526315"/>
    <x v="2"/>
    <n v="19"/>
    <n v="162586.34210526315"/>
    <n v="19.228571428571428"/>
    <n v="160653.66641901931"/>
  </r>
  <r>
    <d v="2020-05-28T00:00:00"/>
    <x v="10"/>
    <n v="13864.5"/>
    <n v="1239747"/>
    <n v="16"/>
    <n v="876"/>
    <n v="762"/>
    <n v="77484.1875"/>
    <x v="0"/>
    <n v="15.571428571428571"/>
    <n v="79616.779816513765"/>
    <n v="15.151515151515152"/>
    <n v="81823.301999999996"/>
  </r>
  <r>
    <d v="2020-05-25T00:00:00"/>
    <x v="11"/>
    <n v="28494"/>
    <n v="2512803"/>
    <n v="20"/>
    <n v="1899"/>
    <n v="1738"/>
    <n v="125640.15"/>
    <x v="0"/>
    <n v="20.142857142857142"/>
    <n v="124749.08510638298"/>
    <n v="19.228571428571428"/>
    <n v="130680.69093610698"/>
  </r>
  <r>
    <d v="2020-04-30T00:00:00"/>
    <x v="11"/>
    <n v="27883.5"/>
    <n v="2560080"/>
    <n v="19"/>
    <n v="1662"/>
    <n v="1506"/>
    <n v="134741.05263157896"/>
    <x v="4"/>
    <n v="18.666666666666668"/>
    <n v="137147.14285714284"/>
    <n v="19.228571428571428"/>
    <n v="133139.37592867756"/>
  </r>
  <r>
    <d v="2020-05-10T00:00:00"/>
    <x v="11"/>
    <n v="31224"/>
    <n v="2767270.5"/>
    <n v="19"/>
    <n v="1836"/>
    <n v="1680"/>
    <n v="145645.81578947368"/>
    <x v="3"/>
    <n v="19"/>
    <n v="145645.81578947368"/>
    <n v="19.228571428571428"/>
    <n v="143914.51337295692"/>
  </r>
  <r>
    <d v="2020-05-08T00:00:00"/>
    <x v="11"/>
    <n v="25020"/>
    <n v="2235960"/>
    <n v="19"/>
    <n v="1520"/>
    <n v="1380"/>
    <n v="117682.10526315789"/>
    <x v="3"/>
    <n v="19"/>
    <n v="117682.10526315789"/>
    <n v="19.228571428571428"/>
    <n v="116283.20950965825"/>
  </r>
  <r>
    <d v="2020-05-07T00:00:00"/>
    <x v="11"/>
    <n v="26184"/>
    <n v="2308336.5"/>
    <n v="19"/>
    <n v="1580"/>
    <n v="1435"/>
    <n v="121491.39473684211"/>
    <x v="3"/>
    <n v="19"/>
    <n v="121491.39473684211"/>
    <n v="19.228571428571428"/>
    <n v="120047.21768202081"/>
  </r>
  <r>
    <d v="2020-05-24T00:00:00"/>
    <x v="11"/>
    <n v="29824.5"/>
    <n v="2526909"/>
    <n v="19"/>
    <n v="1868"/>
    <n v="1706"/>
    <n v="132995.21052631579"/>
    <x v="2"/>
    <n v="19"/>
    <n v="132995.21052631579"/>
    <n v="19.228571428571428"/>
    <n v="131414.28677563151"/>
  </r>
  <r>
    <d v="2020-04-29T00:00:00"/>
    <x v="12"/>
    <n v="208351.5"/>
    <n v="21615333"/>
    <n v="59"/>
    <n v="13186"/>
    <n v="12251"/>
    <n v="366361.57627118647"/>
    <x v="4"/>
    <n v="59"/>
    <n v="366361.57627118647"/>
    <n v="59.428571428571431"/>
    <n v="363719.54567307694"/>
  </r>
  <r>
    <d v="2020-04-28T00:00:00"/>
    <x v="12"/>
    <n v="204637.5"/>
    <n v="21114898.5"/>
    <n v="59"/>
    <n v="12943"/>
    <n v="12072"/>
    <n v="357879.63559322036"/>
    <x v="4"/>
    <n v="59"/>
    <n v="357879.63559322036"/>
    <n v="59.428571428571431"/>
    <n v="355298.77283653844"/>
  </r>
  <r>
    <d v="2020-05-31T00:00:00"/>
    <x v="11"/>
    <n v="31372.5"/>
    <n v="2794324.5"/>
    <n v="21"/>
    <n v="2056"/>
    <n v="1879"/>
    <n v="133063.07142857142"/>
    <x v="0"/>
    <n v="20.142857142857142"/>
    <n v="138725.32978723405"/>
    <n v="19.228571428571428"/>
    <n v="145321.4821693908"/>
  </r>
  <r>
    <d v="2020-05-30T00:00:00"/>
    <x v="11"/>
    <n v="34681.5"/>
    <n v="3005334"/>
    <n v="20"/>
    <n v="2174"/>
    <n v="1957"/>
    <n v="150266.70000000001"/>
    <x v="0"/>
    <n v="20.142857142857142"/>
    <n v="149200.97872340426"/>
    <n v="19.228571428571428"/>
    <n v="156295.23031203568"/>
  </r>
  <r>
    <d v="2020-05-28T00:00:00"/>
    <x v="11"/>
    <n v="28197"/>
    <n v="2559211.5"/>
    <n v="20"/>
    <n v="1875"/>
    <n v="1701"/>
    <n v="127960.575"/>
    <x v="0"/>
    <n v="20.142857142857142"/>
    <n v="127053.05319148937"/>
    <n v="19.228571428571428"/>
    <n v="133094.20876671621"/>
  </r>
  <r>
    <d v="2020-05-16T00:00:00"/>
    <x v="12"/>
    <n v="236551.5"/>
    <n v="23689383"/>
    <n v="60"/>
    <n v="14049"/>
    <n v="13118"/>
    <n v="394823.05"/>
    <x v="1"/>
    <n v="60"/>
    <n v="394823.05"/>
    <n v="59.428571428571431"/>
    <n v="398619.42548076919"/>
  </r>
  <r>
    <d v="2020-05-19T00:00:00"/>
    <x v="12"/>
    <n v="223597.5"/>
    <n v="21945858"/>
    <n v="60"/>
    <n v="13867"/>
    <n v="12987"/>
    <n v="365764.3"/>
    <x v="2"/>
    <n v="60"/>
    <n v="365764.3"/>
    <n v="59.428571428571431"/>
    <n v="369281.26442307694"/>
  </r>
  <r>
    <d v="2020-05-17T00:00:00"/>
    <x v="12"/>
    <n v="193363.5"/>
    <n v="19546386"/>
    <n v="60"/>
    <n v="11698"/>
    <n v="10989"/>
    <n v="325773.09999999998"/>
    <x v="1"/>
    <n v="60"/>
    <n v="325773.09999999998"/>
    <n v="59.428571428571431"/>
    <n v="328905.53365384613"/>
  </r>
  <r>
    <d v="2020-05-09T00:00:00"/>
    <x v="12"/>
    <n v="188319"/>
    <n v="19218631.5"/>
    <n v="59"/>
    <n v="12016"/>
    <n v="11137"/>
    <n v="325739.51694915252"/>
    <x v="3"/>
    <n v="59"/>
    <n v="325739.51694915252"/>
    <n v="59.428571428571431"/>
    <n v="323390.43389423075"/>
  </r>
  <r>
    <d v="2020-05-04T00:00:00"/>
    <x v="12"/>
    <n v="237544.5"/>
    <n v="24292218"/>
    <n v="59"/>
    <n v="14423"/>
    <n v="13432"/>
    <n v="411732.50847457629"/>
    <x v="3"/>
    <n v="59"/>
    <n v="411732.50847457629"/>
    <n v="59.428571428571431"/>
    <n v="408763.28365384613"/>
  </r>
  <r>
    <d v="2020-04-29T00:00:00"/>
    <x v="13"/>
    <n v="203209.5"/>
    <n v="20871391.5"/>
    <n v="54"/>
    <n v="12747"/>
    <n v="11884"/>
    <n v="386507.25"/>
    <x v="4"/>
    <n v="54"/>
    <n v="386507.25"/>
    <n v="54"/>
    <n v="386507.25"/>
  </r>
  <r>
    <d v="2020-05-02T00:00:00"/>
    <x v="12"/>
    <n v="185979"/>
    <n v="19625364"/>
    <n v="59"/>
    <n v="12429"/>
    <n v="11477"/>
    <n v="332633.28813559323"/>
    <x v="4"/>
    <n v="59"/>
    <n v="332633.28813559323"/>
    <n v="59.428571428571431"/>
    <n v="330234.49038461538"/>
  </r>
  <r>
    <d v="2020-05-26T00:00:00"/>
    <x v="12"/>
    <n v="244905"/>
    <n v="25163431.5"/>
    <n v="59"/>
    <n v="15369"/>
    <n v="14299"/>
    <n v="426498.83898305084"/>
    <x v="0"/>
    <n v="59.142857142857146"/>
    <n v="425468.64855072461"/>
    <n v="59.428571428571431"/>
    <n v="423423.12620192306"/>
  </r>
  <r>
    <d v="2020-05-01T00:00:00"/>
    <x v="12"/>
    <n v="239409"/>
    <n v="25413351"/>
    <n v="59"/>
    <n v="15222"/>
    <n v="13873"/>
    <n v="430734.76271186443"/>
    <x v="4"/>
    <n v="59"/>
    <n v="430734.76271186443"/>
    <n v="59.428571428571431"/>
    <n v="427628.50240384613"/>
  </r>
  <r>
    <d v="2020-05-12T00:00:00"/>
    <x v="12"/>
    <n v="192886.5"/>
    <n v="19205179.5"/>
    <n v="60"/>
    <n v="12000"/>
    <n v="11194"/>
    <n v="320086.32500000001"/>
    <x v="1"/>
    <n v="60"/>
    <n v="320086.32500000001"/>
    <n v="59.428571428571431"/>
    <n v="323164.078125"/>
  </r>
  <r>
    <d v="2020-05-21T00:00:00"/>
    <x v="12"/>
    <n v="224233.5"/>
    <n v="22253295"/>
    <n v="60"/>
    <n v="14005"/>
    <n v="13002"/>
    <n v="370888.25"/>
    <x v="2"/>
    <n v="60"/>
    <n v="370888.25"/>
    <n v="59.428571428571431"/>
    <n v="374454.48317307694"/>
  </r>
  <r>
    <d v="2020-05-20T00:00:00"/>
    <x v="12"/>
    <n v="219622.5"/>
    <n v="21959286"/>
    <n v="60"/>
    <n v="13792"/>
    <n v="12834"/>
    <n v="365988.1"/>
    <x v="2"/>
    <n v="60"/>
    <n v="365988.1"/>
    <n v="59.428571428571431"/>
    <n v="369507.21634615381"/>
  </r>
  <r>
    <d v="2020-05-05T00:00:00"/>
    <x v="12"/>
    <n v="213582"/>
    <n v="21919435.5"/>
    <n v="59"/>
    <n v="13469"/>
    <n v="12486"/>
    <n v="371515.85593220341"/>
    <x v="3"/>
    <n v="59"/>
    <n v="371515.85593220341"/>
    <n v="59.428571428571431"/>
    <n v="368836.65504807694"/>
  </r>
  <r>
    <d v="2020-04-28T00:00:00"/>
    <x v="13"/>
    <n v="195705"/>
    <n v="20003263.5"/>
    <n v="54"/>
    <n v="12306"/>
    <n v="11532"/>
    <n v="370430.80555555556"/>
    <x v="4"/>
    <n v="54"/>
    <n v="370430.80555555556"/>
    <n v="54"/>
    <n v="370430.80555555556"/>
  </r>
  <r>
    <d v="2020-05-13T00:00:00"/>
    <x v="12"/>
    <n v="193722"/>
    <n v="19437273"/>
    <n v="60"/>
    <n v="12007"/>
    <n v="11245"/>
    <n v="323954.55"/>
    <x v="1"/>
    <n v="60"/>
    <n v="323954.55"/>
    <n v="59.428571428571431"/>
    <n v="327069.49759615381"/>
  </r>
  <r>
    <d v="2020-05-03T00:00:00"/>
    <x v="12"/>
    <n v="257215.5"/>
    <n v="26492278.5"/>
    <n v="59"/>
    <n v="15277"/>
    <n v="14163"/>
    <n v="449021.66949152545"/>
    <x v="4"/>
    <n v="59"/>
    <n v="449021.66949152545"/>
    <n v="59.428571428571431"/>
    <n v="445783.53245192306"/>
  </r>
  <r>
    <d v="2020-05-06T00:00:00"/>
    <x v="12"/>
    <n v="224779.5"/>
    <n v="23032992"/>
    <n v="59"/>
    <n v="14103"/>
    <n v="13118"/>
    <n v="390389.69491525425"/>
    <x v="3"/>
    <n v="59"/>
    <n v="390389.69491525425"/>
    <n v="59.428571428571431"/>
    <n v="387574.38461538462"/>
  </r>
  <r>
    <d v="2020-05-23T00:00:00"/>
    <x v="12"/>
    <n v="292018.5"/>
    <n v="28590910.5"/>
    <n v="60"/>
    <n v="17295"/>
    <n v="16010"/>
    <n v="476515.17499999999"/>
    <x v="2"/>
    <n v="60"/>
    <n v="476515.17499999999"/>
    <n v="59.428571428571431"/>
    <n v="481097.05168269231"/>
  </r>
  <r>
    <d v="2020-05-25T00:00:00"/>
    <x v="12"/>
    <n v="198751.5"/>
    <n v="20582743.5"/>
    <n v="59"/>
    <n v="12983"/>
    <n v="12056"/>
    <n v="348860.05932203389"/>
    <x v="0"/>
    <n v="59.142857142857146"/>
    <n v="348017.40217391303"/>
    <n v="59.428571428571431"/>
    <n v="346344.24158653844"/>
  </r>
  <r>
    <d v="2020-04-30T00:00:00"/>
    <x v="12"/>
    <n v="214386"/>
    <n v="22530000"/>
    <n v="59"/>
    <n v="13251"/>
    <n v="12255"/>
    <n v="381864.40677966102"/>
    <x v="4"/>
    <n v="59"/>
    <n v="381864.40677966102"/>
    <n v="59.428571428571431"/>
    <n v="379110.57692307694"/>
  </r>
  <r>
    <d v="2020-05-10T00:00:00"/>
    <x v="12"/>
    <n v="243825"/>
    <n v="24890404.5"/>
    <n v="59"/>
    <n v="14569"/>
    <n v="13566"/>
    <n v="421871.26271186443"/>
    <x v="3"/>
    <n v="59"/>
    <n v="421871.26271186443"/>
    <n v="59.428571428571431"/>
    <n v="418828.921875"/>
  </r>
  <r>
    <d v="2020-05-08T00:00:00"/>
    <x v="12"/>
    <n v="232701"/>
    <n v="23881948.5"/>
    <n v="59"/>
    <n v="14098"/>
    <n v="13106"/>
    <n v="404778.78813559323"/>
    <x v="3"/>
    <n v="59"/>
    <n v="404778.78813559323"/>
    <n v="59.428571428571431"/>
    <n v="401859.71033653844"/>
  </r>
  <r>
    <d v="2020-05-07T00:00:00"/>
    <x v="12"/>
    <n v="219411"/>
    <n v="22460130"/>
    <n v="59"/>
    <n v="13495"/>
    <n v="12517"/>
    <n v="380680.16949152545"/>
    <x v="3"/>
    <n v="59"/>
    <n v="380680.16949152545"/>
    <n v="59.428571428571431"/>
    <n v="377934.87980769231"/>
  </r>
  <r>
    <d v="2020-05-24T00:00:00"/>
    <x v="12"/>
    <n v="200029.5"/>
    <n v="19959801"/>
    <n v="60"/>
    <n v="12822"/>
    <n v="11916"/>
    <n v="332663.34999999998"/>
    <x v="2"/>
    <n v="60"/>
    <n v="332663.34999999998"/>
    <n v="59.428571428571431"/>
    <n v="335862.03605769231"/>
  </r>
  <r>
    <d v="2020-05-16T00:00:00"/>
    <x v="13"/>
    <n v="225480"/>
    <n v="22355338.5"/>
    <n v="54"/>
    <n v="13170"/>
    <n v="12299"/>
    <n v="413987.75"/>
    <x v="1"/>
    <n v="54"/>
    <n v="413987.75"/>
    <n v="54"/>
    <n v="413987.75"/>
  </r>
  <r>
    <d v="2020-05-19T00:00:00"/>
    <x v="13"/>
    <n v="211453.5"/>
    <n v="20590072.5"/>
    <n v="54"/>
    <n v="13070"/>
    <n v="12244"/>
    <n v="381297.63888888888"/>
    <x v="2"/>
    <n v="54"/>
    <n v="381297.63888888888"/>
    <n v="54"/>
    <n v="381297.63888888888"/>
  </r>
  <r>
    <d v="2020-05-17T00:00:00"/>
    <x v="13"/>
    <n v="184801.5"/>
    <n v="18449091"/>
    <n v="54"/>
    <n v="11128"/>
    <n v="10467"/>
    <n v="341649.83333333331"/>
    <x v="1"/>
    <n v="54"/>
    <n v="341649.83333333331"/>
    <n v="54"/>
    <n v="341649.83333333331"/>
  </r>
  <r>
    <d v="2020-05-09T00:00:00"/>
    <x v="13"/>
    <n v="177976.5"/>
    <n v="18085798.5"/>
    <n v="54"/>
    <n v="11288"/>
    <n v="10492"/>
    <n v="334922.19444444444"/>
    <x v="3"/>
    <n v="54"/>
    <n v="334922.19444444444"/>
    <n v="54"/>
    <n v="334922.19444444444"/>
  </r>
  <r>
    <d v="2020-05-04T00:00:00"/>
    <x v="13"/>
    <n v="223617"/>
    <n v="22796827.5"/>
    <n v="54"/>
    <n v="13606"/>
    <n v="12697"/>
    <n v="422163.47222222225"/>
    <x v="3"/>
    <n v="54"/>
    <n v="422163.47222222225"/>
    <n v="54"/>
    <n v="422163.47222222225"/>
  </r>
  <r>
    <d v="2020-05-02T00:00:00"/>
    <x v="13"/>
    <n v="176397"/>
    <n v="18625921.5"/>
    <n v="54"/>
    <n v="11622"/>
    <n v="10754"/>
    <n v="344924.47222222225"/>
    <x v="4"/>
    <n v="54"/>
    <n v="344924.47222222225"/>
    <n v="54"/>
    <n v="344924.47222222225"/>
  </r>
  <r>
    <d v="2020-05-26T00:00:00"/>
    <x v="13"/>
    <n v="232369.5"/>
    <n v="23856345"/>
    <n v="54"/>
    <n v="14482"/>
    <n v="13510"/>
    <n v="441784.16666666669"/>
    <x v="0"/>
    <n v="54"/>
    <n v="441784.16666666669"/>
    <n v="54"/>
    <n v="441784.16666666669"/>
  </r>
  <r>
    <d v="2020-05-01T00:00:00"/>
    <x v="13"/>
    <n v="226540.5"/>
    <n v="23953536"/>
    <n v="54"/>
    <n v="14205"/>
    <n v="13026"/>
    <n v="443584"/>
    <x v="4"/>
    <n v="54"/>
    <n v="443584"/>
    <n v="54"/>
    <n v="443584"/>
  </r>
  <r>
    <d v="2020-05-12T00:00:00"/>
    <x v="13"/>
    <n v="189679.5"/>
    <n v="18718036.5"/>
    <n v="54"/>
    <n v="11614"/>
    <n v="10862"/>
    <n v="346630.30555555556"/>
    <x v="1"/>
    <n v="54"/>
    <n v="346630.30555555556"/>
    <n v="54"/>
    <n v="346630.30555555556"/>
  </r>
  <r>
    <d v="2020-05-21T00:00:00"/>
    <x v="13"/>
    <n v="213640.5"/>
    <n v="21042673.5"/>
    <n v="54"/>
    <n v="13240"/>
    <n v="12360"/>
    <n v="389679.13888888888"/>
    <x v="2"/>
    <n v="54"/>
    <n v="389679.13888888888"/>
    <n v="54"/>
    <n v="389679.13888888888"/>
  </r>
  <r>
    <d v="2020-05-20T00:00:00"/>
    <x v="13"/>
    <n v="214885.5"/>
    <n v="21411349.5"/>
    <n v="54"/>
    <n v="13298"/>
    <n v="12428"/>
    <n v="396506.47222222225"/>
    <x v="2"/>
    <n v="54"/>
    <n v="396506.47222222225"/>
    <n v="54"/>
    <n v="396506.47222222225"/>
  </r>
  <r>
    <d v="2020-05-05T00:00:00"/>
    <x v="13"/>
    <n v="203832"/>
    <n v="20880142.5"/>
    <n v="54"/>
    <n v="12775"/>
    <n v="11887"/>
    <n v="386669.30555555556"/>
    <x v="3"/>
    <n v="54"/>
    <n v="386669.30555555556"/>
    <n v="54"/>
    <n v="386669.30555555556"/>
  </r>
  <r>
    <d v="2020-05-13T00:00:00"/>
    <x v="13"/>
    <n v="188662.5"/>
    <n v="18784000.5"/>
    <n v="54"/>
    <n v="11522"/>
    <n v="10803"/>
    <n v="347851.86111111112"/>
    <x v="1"/>
    <n v="54"/>
    <n v="347851.86111111112"/>
    <n v="54"/>
    <n v="347851.86111111112"/>
  </r>
  <r>
    <d v="2020-05-31T00:00:00"/>
    <x v="12"/>
    <n v="215277"/>
    <n v="21585316.5"/>
    <n v="59"/>
    <n v="13684"/>
    <n v="12690"/>
    <n v="365852.82203389832"/>
    <x v="0"/>
    <n v="59.142857142857146"/>
    <n v="364969.11956521735"/>
    <n v="59.428571428571431"/>
    <n v="363214.46033653844"/>
  </r>
  <r>
    <d v="2020-05-03T00:00:00"/>
    <x v="13"/>
    <n v="248148"/>
    <n v="25519072.5"/>
    <n v="54"/>
    <n v="14823"/>
    <n v="13751"/>
    <n v="472575.41666666669"/>
    <x v="4"/>
    <n v="54"/>
    <n v="472575.41666666669"/>
    <n v="54"/>
    <n v="472575.41666666669"/>
  </r>
  <r>
    <d v="2020-05-30T00:00:00"/>
    <x v="12"/>
    <n v="246414"/>
    <n v="24527245.5"/>
    <n v="59"/>
    <n v="15030"/>
    <n v="13956"/>
    <n v="415716.0254237288"/>
    <x v="0"/>
    <n v="59.142857142857146"/>
    <n v="414711.88043478259"/>
    <n v="59.428571428571431"/>
    <n v="412718.07331730769"/>
  </r>
  <r>
    <d v="2020-05-06T00:00:00"/>
    <x v="13"/>
    <n v="216498"/>
    <n v="22126444.5"/>
    <n v="54"/>
    <n v="13406"/>
    <n v="12518"/>
    <n v="409748.97222222225"/>
    <x v="3"/>
    <n v="54"/>
    <n v="409748.97222222225"/>
    <n v="54"/>
    <n v="409748.97222222225"/>
  </r>
  <r>
    <d v="2020-05-23T00:00:00"/>
    <x v="13"/>
    <n v="275793"/>
    <n v="26806626"/>
    <n v="54"/>
    <n v="16221"/>
    <n v="15065"/>
    <n v="496419"/>
    <x v="2"/>
    <n v="54"/>
    <n v="496419"/>
    <n v="54"/>
    <n v="496419"/>
  </r>
  <r>
    <d v="2020-05-28T00:00:00"/>
    <x v="12"/>
    <n v="199753.5"/>
    <n v="20535733.5"/>
    <n v="60"/>
    <n v="12854"/>
    <n v="11954"/>
    <n v="342262.22499999998"/>
    <x v="0"/>
    <n v="59.142857142857146"/>
    <n v="347222.54710144928"/>
    <n v="59.428571428571431"/>
    <n v="345553.20793269231"/>
  </r>
  <r>
    <d v="2020-05-25T00:00:00"/>
    <x v="13"/>
    <n v="192948"/>
    <n v="19806927"/>
    <n v="54"/>
    <n v="12336"/>
    <n v="11519"/>
    <n v="366794.94444444444"/>
    <x v="0"/>
    <n v="54"/>
    <n v="366794.94444444444"/>
    <n v="54"/>
    <n v="366794.94444444444"/>
  </r>
  <r>
    <d v="2020-04-30T00:00:00"/>
    <x v="13"/>
    <n v="206038.5"/>
    <n v="21740460"/>
    <n v="54"/>
    <n v="12817"/>
    <n v="11865"/>
    <n v="402601.11111111112"/>
    <x v="4"/>
    <n v="54"/>
    <n v="402601.11111111112"/>
    <n v="54"/>
    <n v="402601.11111111112"/>
  </r>
  <r>
    <d v="2020-05-10T00:00:00"/>
    <x v="13"/>
    <n v="231559.5"/>
    <n v="23443725"/>
    <n v="54"/>
    <n v="13832"/>
    <n v="12864"/>
    <n v="434143.05555555556"/>
    <x v="3"/>
    <n v="54"/>
    <n v="434143.05555555556"/>
    <n v="54"/>
    <n v="434143.05555555556"/>
  </r>
  <r>
    <d v="2020-05-08T00:00:00"/>
    <x v="13"/>
    <n v="225076.5"/>
    <n v="22846078.5"/>
    <n v="54"/>
    <n v="13563"/>
    <n v="12604"/>
    <n v="423075.52777777775"/>
    <x v="3"/>
    <n v="54"/>
    <n v="423075.52777777775"/>
    <n v="54"/>
    <n v="423075.52777777775"/>
  </r>
  <r>
    <d v="2020-05-07T00:00:00"/>
    <x v="13"/>
    <n v="209415"/>
    <n v="21463023"/>
    <n v="54"/>
    <n v="12743"/>
    <n v="11858"/>
    <n v="397463.38888888888"/>
    <x v="3"/>
    <n v="54"/>
    <n v="397463.38888888888"/>
    <n v="54"/>
    <n v="397463.38888888888"/>
  </r>
  <r>
    <d v="2020-05-24T00:00:00"/>
    <x v="13"/>
    <n v="193719"/>
    <n v="19071117"/>
    <n v="54"/>
    <n v="12211"/>
    <n v="11427"/>
    <n v="353168.83333333331"/>
    <x v="2"/>
    <n v="54"/>
    <n v="353168.83333333331"/>
    <n v="54"/>
    <n v="353168.83333333331"/>
  </r>
  <r>
    <d v="2020-04-29T00:00:00"/>
    <x v="14"/>
    <n v="12250.5"/>
    <n v="981519"/>
    <n v="15"/>
    <n v="659"/>
    <n v="575"/>
    <n v="65434.6"/>
    <x v="4"/>
    <n v="15"/>
    <n v="65434.6"/>
    <n v="16.285714285714285"/>
    <n v="60268.710526315794"/>
  </r>
  <r>
    <d v="2020-04-28T00:00:00"/>
    <x v="14"/>
    <n v="12541.5"/>
    <n v="992541"/>
    <n v="15"/>
    <n v="636"/>
    <n v="547"/>
    <n v="66169.399999999994"/>
    <x v="4"/>
    <n v="15"/>
    <n v="66169.399999999994"/>
    <n v="16.285714285714285"/>
    <n v="60945.500000000007"/>
  </r>
  <r>
    <d v="2020-05-31T00:00:00"/>
    <x v="13"/>
    <n v="206758.5"/>
    <n v="20717248.5"/>
    <n v="54"/>
    <n v="13106"/>
    <n v="12164"/>
    <n v="383652.75"/>
    <x v="0"/>
    <n v="54"/>
    <n v="383652.75"/>
    <n v="54"/>
    <n v="383652.75"/>
  </r>
  <r>
    <d v="2020-05-30T00:00:00"/>
    <x v="13"/>
    <n v="244734"/>
    <n v="24151980"/>
    <n v="54"/>
    <n v="14590"/>
    <n v="13551"/>
    <n v="447258.88888888888"/>
    <x v="0"/>
    <n v="54"/>
    <n v="447258.88888888888"/>
    <n v="54"/>
    <n v="447258.88888888888"/>
  </r>
  <r>
    <d v="2020-05-28T00:00:00"/>
    <x v="13"/>
    <n v="191641.5"/>
    <n v="19549036.5"/>
    <n v="54"/>
    <n v="12409"/>
    <n v="11582"/>
    <n v="362019.19444444444"/>
    <x v="0"/>
    <n v="54"/>
    <n v="362019.19444444444"/>
    <n v="54"/>
    <n v="362019.19444444444"/>
  </r>
  <r>
    <d v="2020-05-16T00:00:00"/>
    <x v="14"/>
    <n v="16368"/>
    <n v="1316350.5"/>
    <n v="16"/>
    <n v="920"/>
    <n v="818"/>
    <n v="82271.90625"/>
    <x v="1"/>
    <n v="15.571428571428571"/>
    <n v="84536.270642201838"/>
    <n v="16.285714285714285"/>
    <n v="80828.539473684214"/>
  </r>
  <r>
    <d v="2020-05-19T00:00:00"/>
    <x v="14"/>
    <n v="14427"/>
    <n v="1126810.5"/>
    <n v="17"/>
    <n v="857"/>
    <n v="757"/>
    <n v="66282.970588235301"/>
    <x v="2"/>
    <n v="17.428571428571427"/>
    <n v="64653.061475409842"/>
    <n v="16.285714285714285"/>
    <n v="69190.118421052641"/>
  </r>
  <r>
    <d v="2020-05-17T00:00:00"/>
    <x v="14"/>
    <n v="13440"/>
    <n v="1157529"/>
    <n v="16"/>
    <n v="859"/>
    <n v="746"/>
    <n v="72345.5625"/>
    <x v="1"/>
    <n v="15.571428571428571"/>
    <n v="74336.724770642206"/>
    <n v="16.285714285714285"/>
    <n v="71076.34210526316"/>
  </r>
  <r>
    <d v="2020-05-09T00:00:00"/>
    <x v="14"/>
    <n v="11745"/>
    <n v="955801.5"/>
    <n v="15"/>
    <n v="654"/>
    <n v="570"/>
    <n v="63720.1"/>
    <x v="3"/>
    <n v="15"/>
    <n v="63720.1"/>
    <n v="16.285714285714285"/>
    <n v="58689.565789473687"/>
  </r>
  <r>
    <d v="2020-05-04T00:00:00"/>
    <x v="14"/>
    <n v="11062.5"/>
    <n v="906343.5"/>
    <n v="15"/>
    <n v="622"/>
    <n v="538"/>
    <n v="60422.9"/>
    <x v="3"/>
    <n v="15"/>
    <n v="60422.9"/>
    <n v="16.285714285714285"/>
    <n v="55652.67105263158"/>
  </r>
  <r>
    <d v="2020-05-02T00:00:00"/>
    <x v="14"/>
    <n v="10018.5"/>
    <n v="816859.5"/>
    <n v="15"/>
    <n v="567"/>
    <n v="493"/>
    <n v="54457.3"/>
    <x v="4"/>
    <n v="15"/>
    <n v="54457.3"/>
    <n v="16.285714285714285"/>
    <n v="50158.039473684214"/>
  </r>
  <r>
    <d v="2020-05-26T00:00:00"/>
    <x v="15"/>
    <n v="10437"/>
    <n v="833815.5"/>
    <n v="7"/>
    <n v="577"/>
    <n v="389"/>
    <n v="119116.5"/>
    <x v="0"/>
    <n v="7"/>
    <n v="119116.5"/>
    <n v="7"/>
    <n v="119116.5"/>
  </r>
  <r>
    <d v="2020-05-01T00:00:00"/>
    <x v="14"/>
    <n v="13644"/>
    <n v="1134444"/>
    <n v="15"/>
    <n v="721"/>
    <n v="625"/>
    <n v="75629.600000000006"/>
    <x v="4"/>
    <n v="15"/>
    <n v="75629.600000000006"/>
    <n v="16.285714285714285"/>
    <n v="69658.84210526316"/>
  </r>
  <r>
    <d v="2020-05-12T00:00:00"/>
    <x v="14"/>
    <n v="13443"/>
    <n v="1092277.5"/>
    <n v="15"/>
    <n v="750"/>
    <n v="659"/>
    <n v="72818.5"/>
    <x v="1"/>
    <n v="15.571428571428571"/>
    <n v="70146.261467889912"/>
    <n v="16.285714285714285"/>
    <n v="67069.671052631587"/>
  </r>
  <r>
    <d v="2020-05-21T00:00:00"/>
    <x v="14"/>
    <n v="14182.5"/>
    <n v="1172574"/>
    <n v="18"/>
    <n v="888"/>
    <n v="786"/>
    <n v="65143"/>
    <x v="2"/>
    <n v="17.428571428571427"/>
    <n v="67278.836065573778"/>
    <n v="16.285714285714285"/>
    <n v="72000.15789473684"/>
  </r>
  <r>
    <d v="2020-05-20T00:00:00"/>
    <x v="14"/>
    <n v="14928"/>
    <n v="1217749.5"/>
    <n v="17"/>
    <n v="890"/>
    <n v="794"/>
    <n v="71632.323529411762"/>
    <x v="2"/>
    <n v="17.428571428571427"/>
    <n v="69870.872950819685"/>
    <n v="16.285714285714285"/>
    <n v="74774.09210526316"/>
  </r>
  <r>
    <d v="2020-05-05T00:00:00"/>
    <x v="14"/>
    <n v="13941"/>
    <n v="1145575.5"/>
    <n v="15"/>
    <n v="750"/>
    <n v="658"/>
    <n v="76371.7"/>
    <x v="3"/>
    <n v="15"/>
    <n v="76371.7"/>
    <n v="16.285714285714285"/>
    <n v="70342.355263157893"/>
  </r>
  <r>
    <d v="2020-05-13T00:00:00"/>
    <x v="14"/>
    <n v="14643"/>
    <n v="1172691"/>
    <n v="15"/>
    <n v="854"/>
    <n v="756"/>
    <n v="78179.399999999994"/>
    <x v="1"/>
    <n v="15.571428571428571"/>
    <n v="75310.431192660559"/>
    <n v="16.285714285714285"/>
    <n v="72007.34210526316"/>
  </r>
  <r>
    <d v="2020-05-03T00:00:00"/>
    <x v="14"/>
    <n v="10032"/>
    <n v="816150"/>
    <n v="15"/>
    <n v="585"/>
    <n v="502"/>
    <n v="54410"/>
    <x v="4"/>
    <n v="15"/>
    <n v="54410"/>
    <n v="16.285714285714285"/>
    <n v="50114.473684210527"/>
  </r>
  <r>
    <d v="2020-05-06T00:00:00"/>
    <x v="14"/>
    <n v="12468"/>
    <n v="1016566.5"/>
    <n v="15"/>
    <n v="701"/>
    <n v="611"/>
    <n v="67771.100000000006"/>
    <x v="3"/>
    <n v="15"/>
    <n v="67771.100000000006"/>
    <n v="16.285714285714285"/>
    <n v="62420.750000000007"/>
  </r>
  <r>
    <d v="2020-05-23T00:00:00"/>
    <x v="14"/>
    <n v="17943"/>
    <n v="1457391"/>
    <n v="18"/>
    <n v="1031"/>
    <n v="918"/>
    <n v="80966.166666666672"/>
    <x v="2"/>
    <n v="17.428571428571427"/>
    <n v="83620.795081967226"/>
    <n v="16.285714285714285"/>
    <n v="89488.921052631587"/>
  </r>
  <r>
    <d v="2020-05-25T00:00:00"/>
    <x v="14"/>
    <n v="15807"/>
    <n v="1326705"/>
    <n v="18"/>
    <n v="989"/>
    <n v="887"/>
    <n v="73705.833333333328"/>
    <x v="0"/>
    <n v="18"/>
    <n v="73705.833333333328"/>
    <n v="16.285714285714285"/>
    <n v="81464.34210526316"/>
  </r>
  <r>
    <d v="2020-04-30T00:00:00"/>
    <x v="14"/>
    <n v="11976"/>
    <n v="1004511"/>
    <n v="15"/>
    <n v="644"/>
    <n v="550"/>
    <n v="66967.399999999994"/>
    <x v="4"/>
    <n v="15"/>
    <n v="66967.399999999994"/>
    <n v="16.285714285714285"/>
    <n v="61680.500000000007"/>
  </r>
  <r>
    <d v="2020-05-10T00:00:00"/>
    <x v="14"/>
    <n v="14566.5"/>
    <n v="1216557"/>
    <n v="15"/>
    <n v="792"/>
    <n v="695"/>
    <n v="81103.8"/>
    <x v="3"/>
    <n v="15"/>
    <n v="81103.8"/>
    <n v="16.285714285714285"/>
    <n v="74700.868421052641"/>
  </r>
  <r>
    <d v="2020-05-08T00:00:00"/>
    <x v="14"/>
    <n v="12976.5"/>
    <n v="1046848.5"/>
    <n v="15"/>
    <n v="703"/>
    <n v="609"/>
    <n v="69789.899999999994"/>
    <x v="3"/>
    <n v="15"/>
    <n v="69789.899999999994"/>
    <n v="16.285714285714285"/>
    <n v="64280.17105263158"/>
  </r>
  <r>
    <d v="2020-05-07T00:00:00"/>
    <x v="14"/>
    <n v="11719.5"/>
    <n v="965880"/>
    <n v="15"/>
    <n v="676"/>
    <n v="591"/>
    <n v="64392"/>
    <x v="3"/>
    <n v="15"/>
    <n v="64392"/>
    <n v="16.285714285714285"/>
    <n v="59308.42105263158"/>
  </r>
  <r>
    <d v="2020-05-24T00:00:00"/>
    <x v="14"/>
    <n v="17197.5"/>
    <n v="1386262.5"/>
    <n v="18"/>
    <n v="1006"/>
    <n v="904"/>
    <n v="77014.583333333328"/>
    <x v="2"/>
    <n v="17.428571428571427"/>
    <n v="79539.651639344273"/>
    <n v="16.285714285714285"/>
    <n v="85121.381578947374"/>
  </r>
  <r>
    <d v="2020-05-26T00:00:00"/>
    <x v="14"/>
    <n v="14419.5"/>
    <n v="1210456.5"/>
    <n v="18"/>
    <n v="914"/>
    <n v="804"/>
    <n v="67247.583333333328"/>
    <x v="0"/>
    <n v="18"/>
    <n v="67247.583333333328"/>
    <n v="16.285714285714285"/>
    <n v="74326.276315789481"/>
  </r>
  <r>
    <d v="2020-06-01T00:00:00"/>
    <x v="0"/>
    <n v="7816.5"/>
    <n v="636345"/>
    <n v="15"/>
    <n v="453"/>
    <n v="370"/>
    <n v="42423"/>
    <x v="5"/>
    <n v="15"/>
    <n v="42423"/>
    <n v="15"/>
    <n v="42423"/>
  </r>
  <r>
    <d v="2020-05-31T00:00:00"/>
    <x v="16"/>
    <n v="6409.5"/>
    <n v="493893"/>
    <n v="9"/>
    <n v="345"/>
    <n v="255"/>
    <n v="54877"/>
    <x v="0"/>
    <n v="9"/>
    <n v="54877"/>
    <n v="9"/>
    <n v="54877"/>
  </r>
  <r>
    <d v="2020-05-30T00:00:00"/>
    <x v="15"/>
    <n v="11220"/>
    <n v="928675.5"/>
    <n v="7"/>
    <n v="532"/>
    <n v="449"/>
    <n v="132667.92857142858"/>
    <x v="0"/>
    <n v="7"/>
    <n v="132667.92857142858"/>
    <n v="7"/>
    <n v="132667.92857142858"/>
  </r>
  <r>
    <d v="2020-05-29T00:00:00"/>
    <x v="0"/>
    <n v="8350.5"/>
    <n v="651237"/>
    <n v="15"/>
    <n v="400"/>
    <n v="329"/>
    <n v="43415.8"/>
    <x v="0"/>
    <n v="15"/>
    <n v="43415.8"/>
    <n v="15"/>
    <n v="43415.8"/>
  </r>
  <r>
    <d v="2020-05-28T00:00:00"/>
    <x v="15"/>
    <n v="8428.5"/>
    <n v="694669.5"/>
    <n v="7"/>
    <n v="420"/>
    <n v="347"/>
    <n v="99238.5"/>
    <x v="0"/>
    <n v="7"/>
    <n v="99238.5"/>
    <n v="7"/>
    <n v="99238.5"/>
  </r>
  <r>
    <d v="2020-05-27T00:00:00"/>
    <x v="1"/>
    <n v="32817"/>
    <n v="3015751.5"/>
    <n v="20"/>
    <n v="2079"/>
    <n v="1893"/>
    <n v="150787.57500000001"/>
    <x v="0"/>
    <n v="20.142857142857142"/>
    <n v="149718.1595744681"/>
    <n v="20.285714285714285"/>
    <n v="148663.80633802817"/>
  </r>
  <r>
    <d v="2020-05-22T00:00:00"/>
    <x v="1"/>
    <n v="36031.5"/>
    <n v="3091069.5"/>
    <n v="21"/>
    <n v="2046"/>
    <n v="1853"/>
    <n v="147193.78571428571"/>
    <x v="2"/>
    <n v="20.857142857142858"/>
    <n v="148201.96232876711"/>
    <n v="20.285714285714285"/>
    <n v="152376.66549295775"/>
  </r>
  <r>
    <d v="2020-05-31T00:00:00"/>
    <x v="17"/>
    <n v="5127"/>
    <n v="468835.5"/>
    <n v="6"/>
    <n v="261"/>
    <n v="188"/>
    <n v="78139.25"/>
    <x v="0"/>
    <n v="6"/>
    <n v="78139.25"/>
    <n v="6"/>
    <n v="78139.25"/>
  </r>
  <r>
    <d v="2020-05-11T00:00:00"/>
    <x v="1"/>
    <n v="27187.5"/>
    <n v="2479396.5"/>
    <n v="21"/>
    <n v="1597"/>
    <n v="1457"/>
    <n v="118066.5"/>
    <x v="1"/>
    <n v="21"/>
    <n v="118066.5"/>
    <n v="20.285714285714285"/>
    <n v="122223.77112676056"/>
  </r>
  <r>
    <d v="2020-05-30T00:00:00"/>
    <x v="14"/>
    <n v="20688"/>
    <n v="1773154.5"/>
    <n v="18"/>
    <n v="1216"/>
    <n v="1101"/>
    <n v="98508.583333333328"/>
    <x v="0"/>
    <n v="18"/>
    <n v="98508.583333333328"/>
    <n v="16.285714285714285"/>
    <n v="108877.90789473685"/>
  </r>
  <r>
    <d v="2020-05-28T00:00:00"/>
    <x v="14"/>
    <n v="15678"/>
    <n v="1387443"/>
    <n v="18"/>
    <n v="1020"/>
    <n v="911"/>
    <n v="77080.166666666672"/>
    <x v="0"/>
    <n v="18"/>
    <n v="77080.166666666672"/>
    <n v="16.285714285714285"/>
    <n v="85193.868421052641"/>
  </r>
  <r>
    <d v="2020-05-18T00:00:00"/>
    <x v="1"/>
    <n v="31329"/>
    <n v="2826379.5"/>
    <n v="21"/>
    <n v="1834"/>
    <n v="1660"/>
    <n v="134589.5"/>
    <x v="2"/>
    <n v="20.857142857142858"/>
    <n v="135511.34589041094"/>
    <n v="20.285714285714285"/>
    <n v="139328.56690140846"/>
  </r>
  <r>
    <d v="2020-05-14T00:00:00"/>
    <x v="1"/>
    <n v="29658"/>
    <n v="2703132"/>
    <n v="21"/>
    <n v="1706"/>
    <n v="1548"/>
    <n v="128720.57142857143"/>
    <x v="1"/>
    <n v="21"/>
    <n v="128720.57142857143"/>
    <n v="20.285714285714285"/>
    <n v="133252.98591549296"/>
  </r>
  <r>
    <d v="2020-05-15T00:00:00"/>
    <x v="1"/>
    <n v="34150.5"/>
    <n v="3038293.5"/>
    <n v="21"/>
    <n v="1926"/>
    <n v="1742"/>
    <n v="144680.64285714287"/>
    <x v="1"/>
    <n v="21"/>
    <n v="144680.64285714287"/>
    <n v="20.285714285714285"/>
    <n v="149775.03169014087"/>
  </r>
  <r>
    <d v="2020-06-01T00:00:00"/>
    <x v="1"/>
    <n v="31947"/>
    <n v="2945035.5"/>
    <n v="21"/>
    <n v="2025"/>
    <n v="1849"/>
    <n v="140239.78571428571"/>
    <x v="5"/>
    <n v="21"/>
    <n v="140239.78571428571"/>
    <n v="20.285714285714285"/>
    <n v="145177.80633802817"/>
  </r>
  <r>
    <d v="2020-05-31T00:00:00"/>
    <x v="15"/>
    <n v="10416"/>
    <n v="866023.5"/>
    <n v="7"/>
    <n v="530"/>
    <n v="447"/>
    <n v="123717.64285714286"/>
    <x v="0"/>
    <n v="7"/>
    <n v="123717.64285714286"/>
    <n v="7"/>
    <n v="123717.64285714286"/>
  </r>
  <r>
    <d v="2020-05-29T00:00:00"/>
    <x v="1"/>
    <n v="35431.5"/>
    <n v="3193167"/>
    <n v="20"/>
    <n v="2111"/>
    <n v="1917"/>
    <n v="159658.35"/>
    <x v="0"/>
    <n v="20.142857142857142"/>
    <n v="158526.02127659574"/>
    <n v="20.285714285714285"/>
    <n v="157409.64084507042"/>
  </r>
  <r>
    <d v="2020-05-27T00:00:00"/>
    <x v="2"/>
    <n v="78544.5"/>
    <n v="6701083.5"/>
    <n v="31"/>
    <n v="5330"/>
    <n v="4977"/>
    <n v="216163.98387096773"/>
    <x v="0"/>
    <n v="31"/>
    <n v="216163.98387096773"/>
    <n v="31"/>
    <n v="216163.98387096773"/>
  </r>
  <r>
    <d v="2020-05-22T00:00:00"/>
    <x v="2"/>
    <n v="97963.5"/>
    <n v="7728465"/>
    <n v="31"/>
    <n v="5965"/>
    <n v="5533"/>
    <n v="249305.32258064515"/>
    <x v="2"/>
    <n v="31"/>
    <n v="249305.32258064515"/>
    <n v="31"/>
    <n v="249305.32258064515"/>
  </r>
  <r>
    <d v="2020-06-01T00:00:00"/>
    <x v="2"/>
    <n v="77269.5"/>
    <n v="6829921.5"/>
    <n v="31"/>
    <n v="5468"/>
    <n v="5081"/>
    <n v="220320.04838709679"/>
    <x v="5"/>
    <n v="31"/>
    <n v="220320.04838709679"/>
    <n v="31"/>
    <n v="220320.04838709679"/>
  </r>
  <r>
    <d v="2020-05-31T00:00:00"/>
    <x v="14"/>
    <n v="16143"/>
    <n v="1423410"/>
    <n v="18"/>
    <n v="1029"/>
    <n v="925"/>
    <n v="79078.333333333328"/>
    <x v="0"/>
    <n v="18"/>
    <n v="79078.333333333328"/>
    <n v="16.285714285714285"/>
    <n v="87402.368421052641"/>
  </r>
  <r>
    <d v="2020-05-11T00:00:00"/>
    <x v="2"/>
    <n v="72220.5"/>
    <n v="6398719.5"/>
    <n v="31"/>
    <n v="4826"/>
    <n v="4483"/>
    <n v="206410.30645161291"/>
    <x v="1"/>
    <n v="31"/>
    <n v="206410.30645161291"/>
    <n v="31"/>
    <n v="206410.30645161291"/>
  </r>
  <r>
    <d v="2020-05-18T00:00:00"/>
    <x v="2"/>
    <n v="78058.5"/>
    <n v="6609714"/>
    <n v="31"/>
    <n v="5165"/>
    <n v="4813"/>
    <n v="213216.5806451613"/>
    <x v="2"/>
    <n v="31"/>
    <n v="213216.5806451613"/>
    <n v="31"/>
    <n v="213216.5806451613"/>
  </r>
  <r>
    <d v="2020-05-14T00:00:00"/>
    <x v="2"/>
    <n v="70498.5"/>
    <n v="6053649"/>
    <n v="31"/>
    <n v="4695"/>
    <n v="4372"/>
    <n v="195279"/>
    <x v="1"/>
    <n v="31"/>
    <n v="195279"/>
    <n v="31"/>
    <n v="195279"/>
  </r>
  <r>
    <d v="2020-05-15T00:00:00"/>
    <x v="2"/>
    <n v="78961.5"/>
    <n v="6876454.5"/>
    <n v="31"/>
    <n v="5184"/>
    <n v="4778"/>
    <n v="221821.11290322582"/>
    <x v="1"/>
    <n v="31"/>
    <n v="221821.11290322582"/>
    <n v="31"/>
    <n v="221821.11290322582"/>
  </r>
  <r>
    <d v="2020-05-27T00:00:00"/>
    <x v="3"/>
    <n v="12490.5"/>
    <n v="1054798.5"/>
    <n v="10"/>
    <n v="757"/>
    <n v="660"/>
    <n v="105479.85"/>
    <x v="0"/>
    <n v="10"/>
    <n v="105479.85"/>
    <n v="10"/>
    <n v="105479.85"/>
  </r>
  <r>
    <d v="2020-05-22T00:00:00"/>
    <x v="3"/>
    <n v="18036"/>
    <n v="1455049.5"/>
    <n v="10"/>
    <n v="965"/>
    <n v="861"/>
    <n v="145504.95000000001"/>
    <x v="2"/>
    <n v="10"/>
    <n v="145504.95000000001"/>
    <n v="10"/>
    <n v="145504.95000000001"/>
  </r>
  <r>
    <d v="2020-06-01T00:00:00"/>
    <x v="3"/>
    <n v="11416.5"/>
    <n v="1007742"/>
    <n v="10"/>
    <n v="719"/>
    <n v="627"/>
    <n v="100774.2"/>
    <x v="5"/>
    <n v="10"/>
    <n v="100774.2"/>
    <n v="10"/>
    <n v="100774.2"/>
  </r>
  <r>
    <d v="2020-05-11T00:00:00"/>
    <x v="3"/>
    <n v="9007.5"/>
    <n v="734335.5"/>
    <n v="10"/>
    <n v="494"/>
    <n v="421"/>
    <n v="73433.55"/>
    <x v="1"/>
    <n v="10"/>
    <n v="73433.55"/>
    <n v="10"/>
    <n v="73433.55"/>
  </r>
  <r>
    <d v="2020-05-29T00:00:00"/>
    <x v="2"/>
    <n v="87552"/>
    <n v="7387116"/>
    <n v="31"/>
    <n v="5751"/>
    <n v="5319"/>
    <n v="238294.06451612903"/>
    <x v="0"/>
    <n v="31"/>
    <n v="238294.06451612903"/>
    <n v="31"/>
    <n v="238294.06451612903"/>
  </r>
  <r>
    <d v="2020-05-18T00:00:00"/>
    <x v="3"/>
    <n v="11680.5"/>
    <n v="936427.5"/>
    <n v="10"/>
    <n v="645"/>
    <n v="565"/>
    <n v="93642.75"/>
    <x v="2"/>
    <n v="10"/>
    <n v="93642.75"/>
    <n v="10"/>
    <n v="93642.75"/>
  </r>
  <r>
    <d v="2020-05-14T00:00:00"/>
    <x v="3"/>
    <n v="12037.5"/>
    <n v="981564"/>
    <n v="10"/>
    <n v="627"/>
    <n v="545"/>
    <n v="98156.4"/>
    <x v="1"/>
    <n v="10"/>
    <n v="98156.4"/>
    <n v="10"/>
    <n v="98156.4"/>
  </r>
  <r>
    <d v="2020-05-15T00:00:00"/>
    <x v="3"/>
    <n v="14421"/>
    <n v="1150579.5"/>
    <n v="10"/>
    <n v="743"/>
    <n v="652"/>
    <n v="115057.95"/>
    <x v="1"/>
    <n v="10"/>
    <n v="115057.95"/>
    <n v="10"/>
    <n v="115057.95"/>
  </r>
  <r>
    <d v="2020-05-29T00:00:00"/>
    <x v="3"/>
    <n v="14823"/>
    <n v="1273464"/>
    <n v="10"/>
    <n v="873"/>
    <n v="770"/>
    <n v="127346.4"/>
    <x v="0"/>
    <n v="10"/>
    <n v="127346.4"/>
    <n v="10"/>
    <n v="127346.4"/>
  </r>
  <r>
    <d v="2020-05-27T00:00:00"/>
    <x v="4"/>
    <n v="31257"/>
    <n v="2924133"/>
    <n v="20"/>
    <n v="2079"/>
    <n v="1856"/>
    <n v="146206.65"/>
    <x v="0"/>
    <n v="20"/>
    <n v="146206.65"/>
    <n v="19.228571428571428"/>
    <n v="152072.29569093612"/>
  </r>
  <r>
    <d v="2020-05-22T00:00:00"/>
    <x v="4"/>
    <n v="38074.5"/>
    <n v="3414180"/>
    <n v="20"/>
    <n v="2306"/>
    <n v="2054"/>
    <n v="170709"/>
    <x v="2"/>
    <n v="19.428571428571427"/>
    <n v="175729.85294117648"/>
    <n v="19.228571428571428"/>
    <n v="177557.65230312035"/>
  </r>
  <r>
    <d v="2020-06-01T00:00:00"/>
    <x v="4"/>
    <n v="32170.5"/>
    <n v="3013512"/>
    <n v="20"/>
    <n v="2136"/>
    <n v="1899"/>
    <n v="150675.6"/>
    <x v="5"/>
    <n v="20"/>
    <n v="150675.6"/>
    <n v="19.228571428571428"/>
    <n v="156720.53491827639"/>
  </r>
  <r>
    <d v="2020-05-11T00:00:00"/>
    <x v="4"/>
    <n v="42397.5"/>
    <n v="3911979"/>
    <n v="19"/>
    <n v="2530"/>
    <n v="2270"/>
    <n v="205893.63157894736"/>
    <x v="1"/>
    <n v="19"/>
    <n v="205893.63157894736"/>
    <n v="19.228571428571428"/>
    <n v="203446.15898959883"/>
  </r>
  <r>
    <d v="2020-05-18T00:00:00"/>
    <x v="4"/>
    <n v="28668"/>
    <n v="2588148"/>
    <n v="19"/>
    <n v="1858"/>
    <n v="1648"/>
    <n v="136218.31578947368"/>
    <x v="2"/>
    <n v="19.428571428571427"/>
    <n v="133213.5"/>
    <n v="19.228571428571428"/>
    <n v="134599.07875185736"/>
  </r>
  <r>
    <d v="2020-05-14T00:00:00"/>
    <x v="4"/>
    <n v="27411"/>
    <n v="2441520"/>
    <n v="19"/>
    <n v="1675"/>
    <n v="1475"/>
    <n v="128501.05263157895"/>
    <x v="1"/>
    <n v="19"/>
    <n v="128501.05263157895"/>
    <n v="19.228571428571428"/>
    <n v="126973.55126300149"/>
  </r>
  <r>
    <d v="2020-05-15T00:00:00"/>
    <x v="4"/>
    <n v="32854.5"/>
    <n v="2949078"/>
    <n v="19"/>
    <n v="1940"/>
    <n v="1715"/>
    <n v="155214.63157894736"/>
    <x v="1"/>
    <n v="19"/>
    <n v="155214.63157894736"/>
    <n v="19.228571428571428"/>
    <n v="153369.58395245171"/>
  </r>
  <r>
    <d v="2020-05-29T00:00:00"/>
    <x v="4"/>
    <n v="35346"/>
    <n v="3258054"/>
    <n v="20"/>
    <n v="2249"/>
    <n v="2000"/>
    <n v="162902.70000000001"/>
    <x v="0"/>
    <n v="20"/>
    <n v="162902.70000000001"/>
    <n v="19.228571428571428"/>
    <n v="169438.17236255572"/>
  </r>
  <r>
    <d v="2020-05-27T00:00:00"/>
    <x v="5"/>
    <n v="286558.5"/>
    <n v="29256993"/>
    <n v="129"/>
    <n v="17115"/>
    <n v="15962"/>
    <n v="226798.39534883722"/>
    <x v="0"/>
    <n v="129"/>
    <n v="226798.39534883722"/>
    <n v="128.91428571428571"/>
    <n v="226949.19215425532"/>
  </r>
  <r>
    <d v="2020-05-22T00:00:00"/>
    <x v="5"/>
    <n v="304092"/>
    <n v="29465769"/>
    <n v="129"/>
    <n v="17088"/>
    <n v="15804"/>
    <n v="228416.81395348837"/>
    <x v="2"/>
    <n v="129"/>
    <n v="228416.81395348837"/>
    <n v="128.91428571428571"/>
    <n v="228568.68683510637"/>
  </r>
  <r>
    <d v="2020-06-01T00:00:00"/>
    <x v="5"/>
    <n v="272926.5"/>
    <n v="27770092.5"/>
    <n v="128"/>
    <n v="16285"/>
    <n v="15130"/>
    <n v="216953.84765625"/>
    <x v="5"/>
    <n v="128"/>
    <n v="216953.84765625"/>
    <n v="128.91428571428571"/>
    <n v="215415.16788563831"/>
  </r>
  <r>
    <d v="2020-05-11T00:00:00"/>
    <x v="5"/>
    <n v="237099"/>
    <n v="24628233.223949999"/>
    <n v="129"/>
    <n v="14043"/>
    <n v="13167"/>
    <n v="190916.53661976743"/>
    <x v="1"/>
    <n v="129"/>
    <n v="190916.53661976743"/>
    <n v="128.91428571428571"/>
    <n v="191043.47580634971"/>
  </r>
  <r>
    <d v="2020-05-18T00:00:00"/>
    <x v="5"/>
    <n v="273900"/>
    <n v="27535284.147600003"/>
    <n v="129"/>
    <n v="16110"/>
    <n v="14992"/>
    <n v="213451.81509767444"/>
    <x v="2"/>
    <n v="129"/>
    <n v="213451.81509767444"/>
    <n v="128.91428571428571"/>
    <n v="213593.73784707449"/>
  </r>
  <r>
    <d v="2020-05-14T00:00:00"/>
    <x v="5"/>
    <n v="274059"/>
    <n v="28181292"/>
    <n v="129"/>
    <n v="15804"/>
    <n v="14738"/>
    <n v="218459.62790697673"/>
    <x v="1"/>
    <n v="129"/>
    <n v="218459.62790697673"/>
    <n v="128.91428571428571"/>
    <n v="218604.88031914894"/>
  </r>
  <r>
    <d v="2020-05-15T00:00:00"/>
    <x v="5"/>
    <n v="318816"/>
    <n v="32354331"/>
    <n v="129"/>
    <n v="17808"/>
    <n v="16486"/>
    <n v="250808.76744186046"/>
    <x v="1"/>
    <n v="129"/>
    <n v="250808.76744186046"/>
    <n v="128.91428571428571"/>
    <n v="250975.52859042553"/>
  </r>
  <r>
    <d v="2020-05-27T00:00:00"/>
    <x v="6"/>
    <n v="370012.5"/>
    <n v="39034861.5"/>
    <n v="124"/>
    <n v="21384"/>
    <n v="19897"/>
    <n v="314797.2701612903"/>
    <x v="0"/>
    <n v="124"/>
    <n v="314797.2701612903"/>
    <n v="124.74285714285715"/>
    <n v="312922.61852954648"/>
  </r>
  <r>
    <d v="2020-05-22T00:00:00"/>
    <x v="6"/>
    <n v="393018"/>
    <n v="39498373.5"/>
    <n v="125"/>
    <n v="21427"/>
    <n v="19799"/>
    <n v="315986.98800000001"/>
    <x v="2"/>
    <n v="125"/>
    <n v="315986.98800000001"/>
    <n v="124.74285714285715"/>
    <n v="316638.35833715071"/>
  </r>
  <r>
    <d v="2020-06-01T00:00:00"/>
    <x v="6"/>
    <n v="349699.5"/>
    <n v="37257840.18135"/>
    <n v="123"/>
    <n v="20325"/>
    <n v="18935"/>
    <n v="302909.26976707316"/>
    <x v="5"/>
    <n v="123"/>
    <n v="302909.26976707316"/>
    <n v="124.74285714285715"/>
    <n v="298677.14300211862"/>
  </r>
  <r>
    <d v="2020-05-11T00:00:00"/>
    <x v="6"/>
    <n v="318565.5"/>
    <n v="33781581"/>
    <n v="125"/>
    <n v="18066"/>
    <n v="16883"/>
    <n v="270252.64799999999"/>
    <x v="1"/>
    <n v="125"/>
    <n v="270252.64799999999"/>
    <n v="124.74285714285715"/>
    <n v="270809.74232707283"/>
  </r>
  <r>
    <d v="2020-05-29T00:00:00"/>
    <x v="5"/>
    <n v="422965.5"/>
    <n v="41767140.105000004"/>
    <n v="129"/>
    <n v="22403"/>
    <n v="20676"/>
    <n v="323776.27988372097"/>
    <x v="0"/>
    <n v="129"/>
    <n v="323776.27988372097"/>
    <n v="128.91428571428571"/>
    <n v="323991.55666555854"/>
  </r>
  <r>
    <d v="2020-05-18T00:00:00"/>
    <x v="6"/>
    <n v="355081.5"/>
    <n v="36876888"/>
    <n v="125"/>
    <n v="20449"/>
    <n v="19060"/>
    <n v="295015.10399999999"/>
    <x v="2"/>
    <n v="125"/>
    <n v="295015.10399999999"/>
    <n v="124.74285714285715"/>
    <n v="295623.24324324325"/>
  </r>
  <r>
    <d v="2020-05-14T00:00:00"/>
    <x v="6"/>
    <n v="358387.5"/>
    <n v="37963150.5"/>
    <n v="125"/>
    <n v="20247"/>
    <n v="18812"/>
    <n v="303705.20400000003"/>
    <x v="1"/>
    <n v="125"/>
    <n v="303705.20400000003"/>
    <n v="124.74285714285715"/>
    <n v="304331.25687127805"/>
  </r>
  <r>
    <d v="2020-05-15T00:00:00"/>
    <x v="6"/>
    <n v="403261.5"/>
    <n v="42271377"/>
    <n v="125"/>
    <n v="21862"/>
    <n v="20235"/>
    <n v="338171.016"/>
    <x v="1"/>
    <n v="125"/>
    <n v="338171.016"/>
    <n v="124.74285714285715"/>
    <n v="338868.11612459918"/>
  </r>
  <r>
    <d v="2020-05-27T00:00:00"/>
    <x v="7"/>
    <n v="69010.5"/>
    <n v="5985894"/>
    <n v="36"/>
    <n v="4951"/>
    <n v="4584"/>
    <n v="166274.83333333334"/>
    <x v="0"/>
    <n v="36.571428571428569"/>
    <n v="163676.7890625"/>
    <n v="36.142857142857146"/>
    <n v="165617.62055335968"/>
  </r>
  <r>
    <d v="2020-05-22T00:00:00"/>
    <x v="7"/>
    <n v="75820.5"/>
    <n v="5943489"/>
    <n v="36"/>
    <n v="4857"/>
    <n v="4456"/>
    <n v="165096.91666666666"/>
    <x v="2"/>
    <n v="36"/>
    <n v="165096.91666666666"/>
    <n v="36.142857142857146"/>
    <n v="164444.35968379446"/>
  </r>
  <r>
    <d v="2020-06-01T00:00:00"/>
    <x v="7"/>
    <n v="64740"/>
    <n v="5800290"/>
    <n v="37"/>
    <n v="4722"/>
    <n v="4352"/>
    <n v="156764.59459459459"/>
    <x v="5"/>
    <n v="37"/>
    <n v="156764.59459459459"/>
    <n v="36.142857142857146"/>
    <n v="160482.33201581027"/>
  </r>
  <r>
    <d v="2020-05-11T00:00:00"/>
    <x v="7"/>
    <n v="59574"/>
    <n v="5178169.5"/>
    <n v="36"/>
    <n v="4150"/>
    <n v="3838"/>
    <n v="143838.04166666666"/>
    <x v="1"/>
    <n v="36"/>
    <n v="143838.04166666666"/>
    <n v="36.142857142857146"/>
    <n v="143269.51185770749"/>
  </r>
  <r>
    <d v="2020-05-29T00:00:00"/>
    <x v="6"/>
    <n v="524481"/>
    <n v="54172029"/>
    <n v="124"/>
    <n v="25828"/>
    <n v="23974"/>
    <n v="436871.20161290321"/>
    <x v="0"/>
    <n v="124"/>
    <n v="436871.20161290321"/>
    <n v="124.74285714285715"/>
    <n v="434269.58657810354"/>
  </r>
  <r>
    <d v="2020-05-18T00:00:00"/>
    <x v="7"/>
    <n v="70278"/>
    <n v="5798476.5"/>
    <n v="36"/>
    <n v="4885"/>
    <n v="4502"/>
    <n v="161068.79166666666"/>
    <x v="2"/>
    <n v="36"/>
    <n v="161068.79166666666"/>
    <n v="36.142857142857146"/>
    <n v="160432.15612648221"/>
  </r>
  <r>
    <d v="2020-05-14T00:00:00"/>
    <x v="7"/>
    <n v="63645"/>
    <n v="5366602.5"/>
    <n v="36"/>
    <n v="4285"/>
    <n v="3950"/>
    <n v="149072.29166666666"/>
    <x v="1"/>
    <n v="36"/>
    <n v="149072.29166666666"/>
    <n v="36.142857142857146"/>
    <n v="148483.07312252963"/>
  </r>
  <r>
    <d v="2020-05-15T00:00:00"/>
    <x v="7"/>
    <n v="75642"/>
    <n v="6293952"/>
    <n v="36"/>
    <n v="4862"/>
    <n v="4476"/>
    <n v="174832"/>
    <x v="1"/>
    <n v="36"/>
    <n v="174832"/>
    <n v="36.142857142857146"/>
    <n v="174140.96442687744"/>
  </r>
  <r>
    <d v="2020-05-27T00:00:00"/>
    <x v="8"/>
    <n v="40420.5"/>
    <n v="3780852"/>
    <n v="21"/>
    <n v="2430"/>
    <n v="2216"/>
    <n v="180040.57142857142"/>
    <x v="0"/>
    <n v="21.714285714285715"/>
    <n v="174118.18421052632"/>
    <n v="20.885714285714286"/>
    <n v="181025.74555403556"/>
  </r>
  <r>
    <d v="2020-05-22T00:00:00"/>
    <x v="8"/>
    <n v="53838"/>
    <n v="4840833"/>
    <n v="21"/>
    <n v="2861"/>
    <n v="2612"/>
    <n v="230515.85714285713"/>
    <x v="2"/>
    <n v="21"/>
    <n v="230515.85714285713"/>
    <n v="20.885714285714286"/>
    <n v="231777.2298221614"/>
  </r>
  <r>
    <d v="2020-06-01T00:00:00"/>
    <x v="8"/>
    <n v="40528.5"/>
    <n v="3865251"/>
    <n v="23"/>
    <n v="2531"/>
    <n v="2296"/>
    <n v="168054.39130434784"/>
    <x v="5"/>
    <n v="23"/>
    <n v="168054.39130434784"/>
    <n v="20.885714285714286"/>
    <n v="185066.73734610123"/>
  </r>
  <r>
    <d v="2020-05-11T00:00:00"/>
    <x v="8"/>
    <n v="32733"/>
    <n v="3079630.5"/>
    <n v="21"/>
    <n v="1916"/>
    <n v="1733"/>
    <n v="146649.07142857142"/>
    <x v="1"/>
    <n v="21"/>
    <n v="146649.07142857142"/>
    <n v="20.885714285714286"/>
    <n v="147451.52872777017"/>
  </r>
  <r>
    <d v="2020-05-29T00:00:00"/>
    <x v="7"/>
    <n v="84433.5"/>
    <n v="7228395"/>
    <n v="37"/>
    <n v="5672"/>
    <n v="5198"/>
    <n v="195362.02702702704"/>
    <x v="0"/>
    <n v="36.571428571428569"/>
    <n v="197651.42578125"/>
    <n v="36.142857142857146"/>
    <n v="199995.11857707507"/>
  </r>
  <r>
    <d v="2020-05-18T00:00:00"/>
    <x v="8"/>
    <n v="36655.5"/>
    <n v="3360135"/>
    <n v="21"/>
    <n v="2136"/>
    <n v="1947"/>
    <n v="160006.42857142858"/>
    <x v="2"/>
    <n v="21"/>
    <n v="160006.42857142858"/>
    <n v="20.885714285714286"/>
    <n v="160881.97674418605"/>
  </r>
  <r>
    <d v="2020-05-14T00:00:00"/>
    <x v="8"/>
    <n v="33886.5"/>
    <n v="3166479"/>
    <n v="21"/>
    <n v="1993"/>
    <n v="1796"/>
    <n v="150784.71428571429"/>
    <x v="1"/>
    <n v="21"/>
    <n v="150784.71428571429"/>
    <n v="20.885714285714286"/>
    <n v="151609.80164158688"/>
  </r>
  <r>
    <d v="2020-05-15T00:00:00"/>
    <x v="8"/>
    <n v="41697"/>
    <n v="3772258.5"/>
    <n v="21"/>
    <n v="2255"/>
    <n v="2045"/>
    <n v="179631.35714285713"/>
    <x v="1"/>
    <n v="21"/>
    <n v="179631.35714285713"/>
    <n v="20.885714285714286"/>
    <n v="180614.29206566347"/>
  </r>
  <r>
    <d v="2020-05-29T00:00:00"/>
    <x v="8"/>
    <n v="44569.5"/>
    <n v="4108596"/>
    <n v="22"/>
    <n v="2597"/>
    <n v="2379"/>
    <n v="186754.36363636365"/>
    <x v="0"/>
    <n v="21.714285714285715"/>
    <n v="189211.65789473683"/>
    <n v="20.885714285714286"/>
    <n v="196718.00273597811"/>
  </r>
  <r>
    <d v="2020-05-27T00:00:00"/>
    <x v="9"/>
    <n v="18069"/>
    <n v="1603084.5"/>
    <n v="17"/>
    <n v="1203"/>
    <n v="1077"/>
    <n v="94299.088235294112"/>
    <x v="0"/>
    <n v="17"/>
    <n v="94299.088235294112"/>
    <n v="15.771428571428572"/>
    <n v="101644.85054347826"/>
  </r>
  <r>
    <d v="2020-05-22T00:00:00"/>
    <x v="9"/>
    <n v="21483"/>
    <n v="1774329"/>
    <n v="17"/>
    <n v="1268"/>
    <n v="1129"/>
    <n v="104372.29411764706"/>
    <x v="2"/>
    <n v="16.571428571428573"/>
    <n v="107071.57758620688"/>
    <n v="15.771428571428572"/>
    <n v="112502.74456521739"/>
  </r>
  <r>
    <d v="2020-06-01T00:00:00"/>
    <x v="9"/>
    <n v="16687.5"/>
    <n v="1526608.5"/>
    <n v="17"/>
    <n v="1185"/>
    <n v="1042"/>
    <n v="89800.5"/>
    <x v="5"/>
    <n v="17"/>
    <n v="89800.5"/>
    <n v="15.771428571428572"/>
    <n v="96795.828804347824"/>
  </r>
  <r>
    <d v="2020-05-11T00:00:00"/>
    <x v="9"/>
    <n v="12238.5"/>
    <n v="1096002"/>
    <n v="15"/>
    <n v="812"/>
    <n v="714"/>
    <n v="73066.8"/>
    <x v="1"/>
    <n v="15"/>
    <n v="73066.8"/>
    <n v="15.771428571428572"/>
    <n v="69492.880434782608"/>
  </r>
  <r>
    <d v="2020-05-18T00:00:00"/>
    <x v="9"/>
    <n v="14290.5"/>
    <n v="1246162.5"/>
    <n v="16"/>
    <n v="925"/>
    <n v="816"/>
    <n v="77885.15625"/>
    <x v="2"/>
    <n v="16.571428571428573"/>
    <n v="75199.461206896551"/>
    <n v="15.771428571428572"/>
    <n v="79013.926630434784"/>
  </r>
  <r>
    <d v="2020-05-14T00:00:00"/>
    <x v="9"/>
    <n v="14385"/>
    <n v="1223491.5"/>
    <n v="15"/>
    <n v="890"/>
    <n v="777"/>
    <n v="81566.100000000006"/>
    <x v="1"/>
    <n v="15"/>
    <n v="81566.100000000006"/>
    <n v="15.771428571428572"/>
    <n v="77576.453804347824"/>
  </r>
  <r>
    <d v="2020-05-15T00:00:00"/>
    <x v="9"/>
    <n v="16498.5"/>
    <n v="1370482.5"/>
    <n v="15"/>
    <n v="980"/>
    <n v="867"/>
    <n v="91365.5"/>
    <x v="1"/>
    <n v="15"/>
    <n v="91365.5"/>
    <n v="15.771428571428572"/>
    <n v="86896.535326086945"/>
  </r>
  <r>
    <d v="2020-05-27T00:00:00"/>
    <x v="10"/>
    <n v="13203"/>
    <n v="1211457"/>
    <n v="15"/>
    <n v="809"/>
    <n v="702"/>
    <n v="80763.8"/>
    <x v="0"/>
    <n v="15.571428571428571"/>
    <n v="77799.990825688074"/>
    <n v="15.151515151515152"/>
    <n v="79956.161999999997"/>
  </r>
  <r>
    <d v="2020-05-22T00:00:00"/>
    <x v="10"/>
    <n v="15802.5"/>
    <n v="1411909.5"/>
    <n v="15"/>
    <n v="903"/>
    <n v="792"/>
    <n v="94127.3"/>
    <x v="2"/>
    <n v="15"/>
    <n v="94127.3"/>
    <n v="15.151515151515152"/>
    <n v="93186.027000000002"/>
  </r>
  <r>
    <d v="2020-06-01T00:00:00"/>
    <x v="10"/>
    <n v="16476"/>
    <n v="1565632.5"/>
    <n v="16"/>
    <n v="1019"/>
    <n v="895"/>
    <n v="97852.03125"/>
    <x v="5"/>
    <n v="16"/>
    <n v="97852.03125"/>
    <n v="15.151515151515152"/>
    <n v="103331.745"/>
  </r>
  <r>
    <d v="2020-05-11T00:00:00"/>
    <x v="10"/>
    <n v="12654"/>
    <n v="1081158"/>
    <n v="15"/>
    <n v="684"/>
    <n v="585"/>
    <n v="72077.2"/>
    <x v="1"/>
    <n v="15"/>
    <n v="72077.2"/>
    <n v="15.151515151515152"/>
    <n v="71356.428"/>
  </r>
  <r>
    <d v="2020-05-29T00:00:00"/>
    <x v="9"/>
    <n v="19647"/>
    <n v="1764669"/>
    <n v="17"/>
    <n v="1296"/>
    <n v="1153"/>
    <n v="103804.05882352941"/>
    <x v="0"/>
    <n v="17"/>
    <n v="103804.05882352941"/>
    <n v="15.771428571428572"/>
    <n v="111890.24456521739"/>
  </r>
  <r>
    <d v="2020-05-18T00:00:00"/>
    <x v="10"/>
    <n v="12450"/>
    <n v="1115146.5"/>
    <n v="15"/>
    <n v="729"/>
    <n v="636"/>
    <n v="74343.100000000006"/>
    <x v="2"/>
    <n v="15"/>
    <n v="74343.100000000006"/>
    <n v="15.151515151515152"/>
    <n v="73599.668999999994"/>
  </r>
  <r>
    <d v="2020-05-14T00:00:00"/>
    <x v="10"/>
    <n v="11161.5"/>
    <n v="963502.5"/>
    <n v="15"/>
    <n v="638"/>
    <n v="548"/>
    <n v="64233.5"/>
    <x v="1"/>
    <n v="15"/>
    <n v="64233.5"/>
    <n v="15.151515151515152"/>
    <n v="63591.164999999994"/>
  </r>
  <r>
    <d v="2020-05-15T00:00:00"/>
    <x v="10"/>
    <n v="12229.5"/>
    <n v="1122730.5"/>
    <n v="15"/>
    <n v="688"/>
    <n v="598"/>
    <n v="74848.7"/>
    <x v="1"/>
    <n v="15"/>
    <n v="74848.7"/>
    <n v="15.151515151515152"/>
    <n v="74100.213000000003"/>
  </r>
  <r>
    <d v="2020-05-27T00:00:00"/>
    <x v="11"/>
    <n v="28050"/>
    <n v="2458555.5"/>
    <n v="20"/>
    <n v="1873"/>
    <n v="1715"/>
    <n v="122927.77499999999"/>
    <x v="0"/>
    <n v="20.142857142857142"/>
    <n v="122055.94680851063"/>
    <n v="19.228571428571428"/>
    <n v="127859.4985141159"/>
  </r>
  <r>
    <d v="2020-05-22T00:00:00"/>
    <x v="11"/>
    <n v="30781.5"/>
    <n v="2540715"/>
    <n v="19"/>
    <n v="1859"/>
    <n v="1697"/>
    <n v="133721.84210526315"/>
    <x v="2"/>
    <n v="19"/>
    <n v="133721.84210526315"/>
    <n v="19.228571428571428"/>
    <n v="132132.2808320951"/>
  </r>
  <r>
    <d v="2020-06-01T00:00:00"/>
    <x v="11"/>
    <n v="27960"/>
    <n v="2538967.5"/>
    <n v="21"/>
    <n v="1879"/>
    <n v="1720"/>
    <n v="120903.21428571429"/>
    <x v="5"/>
    <n v="21"/>
    <n v="120903.21428571429"/>
    <n v="19.228571428571428"/>
    <n v="132041.40044576523"/>
  </r>
  <r>
    <d v="2020-05-11T00:00:00"/>
    <x v="11"/>
    <n v="23629.5"/>
    <n v="2164365"/>
    <n v="19"/>
    <n v="1527"/>
    <n v="1389"/>
    <n v="113913.94736842105"/>
    <x v="1"/>
    <n v="19"/>
    <n v="113913.94736842105"/>
    <n v="19.228571428571428"/>
    <n v="112559.84398216939"/>
  </r>
  <r>
    <d v="2020-05-29T00:00:00"/>
    <x v="10"/>
    <n v="17052"/>
    <n v="1549020"/>
    <n v="16"/>
    <n v="981"/>
    <n v="859"/>
    <n v="96813.75"/>
    <x v="0"/>
    <n v="15.571428571428571"/>
    <n v="99478.348623853206"/>
    <n v="15.151515151515152"/>
    <n v="102235.31999999999"/>
  </r>
  <r>
    <d v="2020-05-18T00:00:00"/>
    <x v="11"/>
    <n v="27181.5"/>
    <n v="2324490"/>
    <n v="19"/>
    <n v="1741"/>
    <n v="1597"/>
    <n v="122341.57894736843"/>
    <x v="2"/>
    <n v="19"/>
    <n v="122341.57894736843"/>
    <n v="19.228571428571428"/>
    <n v="120887.29569093611"/>
  </r>
  <r>
    <d v="2020-05-14T00:00:00"/>
    <x v="11"/>
    <n v="25656"/>
    <n v="2225341.5"/>
    <n v="19"/>
    <n v="1635"/>
    <n v="1487"/>
    <n v="117123.23684210527"/>
    <x v="1"/>
    <n v="19"/>
    <n v="117123.23684210527"/>
    <n v="19.228571428571428"/>
    <n v="115730.98439821694"/>
  </r>
  <r>
    <d v="2020-05-15T00:00:00"/>
    <x v="11"/>
    <n v="29283"/>
    <n v="2477487"/>
    <n v="19"/>
    <n v="1780"/>
    <n v="1615"/>
    <n v="130394.05263157895"/>
    <x v="1"/>
    <n v="19"/>
    <n v="130394.05263157895"/>
    <n v="19.228571428571428"/>
    <n v="128844.04903417535"/>
  </r>
  <r>
    <d v="2020-05-29T00:00:00"/>
    <x v="11"/>
    <n v="32782.5"/>
    <n v="2854741.5"/>
    <n v="20"/>
    <n v="2064"/>
    <n v="1896"/>
    <n v="142737.07500000001"/>
    <x v="0"/>
    <n v="20.142857142857142"/>
    <n v="141724.75531914894"/>
    <n v="19.228571428571428"/>
    <n v="148463.52526002971"/>
  </r>
  <r>
    <d v="2020-05-27T00:00:00"/>
    <x v="12"/>
    <n v="215592"/>
    <n v="22342300.5"/>
    <n v="59"/>
    <n v="13942"/>
    <n v="12986"/>
    <n v="378683.05932203389"/>
    <x v="0"/>
    <n v="59.142857142857146"/>
    <n v="377768.36594202899"/>
    <n v="59.428571428571431"/>
    <n v="375952.171875"/>
  </r>
  <r>
    <d v="2020-05-22T00:00:00"/>
    <x v="12"/>
    <n v="228334.5"/>
    <n v="22380772.5"/>
    <n v="60"/>
    <n v="14050"/>
    <n v="13027"/>
    <n v="373012.875"/>
    <x v="2"/>
    <n v="60"/>
    <n v="373012.875"/>
    <n v="59.428571428571431"/>
    <n v="376599.53725961538"/>
  </r>
  <r>
    <d v="2020-06-01T00:00:00"/>
    <x v="12"/>
    <n v="188776.5"/>
    <n v="19465372.5"/>
    <n v="59"/>
    <n v="12299"/>
    <n v="11448"/>
    <n v="329921.56779661018"/>
    <x v="5"/>
    <n v="59"/>
    <n v="329921.56779661018"/>
    <n v="59.428571428571431"/>
    <n v="327542.32572115381"/>
  </r>
  <r>
    <d v="2020-05-11T00:00:00"/>
    <x v="12"/>
    <n v="175293"/>
    <n v="17919144"/>
    <n v="60"/>
    <n v="11100"/>
    <n v="10407"/>
    <n v="298652.40000000002"/>
    <x v="1"/>
    <n v="60"/>
    <n v="298652.40000000002"/>
    <n v="59.428571428571431"/>
    <n v="301524.05769230769"/>
  </r>
  <r>
    <d v="2020-05-18T00:00:00"/>
    <x v="12"/>
    <n v="201999"/>
    <n v="20422435.5"/>
    <n v="60"/>
    <n v="12460"/>
    <n v="11665"/>
    <n v="340373.92499999999"/>
    <x v="2"/>
    <n v="60"/>
    <n v="340373.92499999999"/>
    <n v="59.428571428571431"/>
    <n v="343646.75120192306"/>
  </r>
  <r>
    <d v="2020-05-14T00:00:00"/>
    <x v="12"/>
    <n v="197946"/>
    <n v="19942435.5"/>
    <n v="60"/>
    <n v="11935"/>
    <n v="11178"/>
    <n v="332373.92499999999"/>
    <x v="1"/>
    <n v="60"/>
    <n v="332373.92499999999"/>
    <n v="59.428571428571431"/>
    <n v="335569.828125"/>
  </r>
  <r>
    <d v="2020-05-15T00:00:00"/>
    <x v="12"/>
    <n v="230896.5"/>
    <n v="23085222"/>
    <n v="60"/>
    <n v="13544"/>
    <n v="12643"/>
    <n v="384753.7"/>
    <x v="1"/>
    <n v="60"/>
    <n v="384753.7"/>
    <n v="59.428571428571431"/>
    <n v="388453.25480769231"/>
  </r>
  <r>
    <d v="2020-05-27T00:00:00"/>
    <x v="13"/>
    <n v="203532"/>
    <n v="20953324.5"/>
    <n v="54"/>
    <n v="13091"/>
    <n v="12216"/>
    <n v="388024.52777777775"/>
    <x v="0"/>
    <n v="54"/>
    <n v="388024.52777777775"/>
    <n v="54"/>
    <n v="388024.52777777775"/>
  </r>
  <r>
    <d v="2020-05-22T00:00:00"/>
    <x v="13"/>
    <n v="214428"/>
    <n v="20812585.5"/>
    <n v="54"/>
    <n v="13014"/>
    <n v="12095"/>
    <n v="385418.25"/>
    <x v="2"/>
    <n v="54"/>
    <n v="385418.25"/>
    <n v="54"/>
    <n v="385418.25"/>
  </r>
  <r>
    <d v="2020-06-01T00:00:00"/>
    <x v="13"/>
    <n v="183228"/>
    <n v="18914194.5"/>
    <n v="54"/>
    <n v="11864"/>
    <n v="11071"/>
    <n v="350262.86111111112"/>
    <x v="5"/>
    <n v="54"/>
    <n v="350262.86111111112"/>
    <n v="54"/>
    <n v="350262.86111111112"/>
  </r>
  <r>
    <d v="2020-05-11T00:00:00"/>
    <x v="13"/>
    <n v="166948.5"/>
    <n v="16971231"/>
    <n v="54"/>
    <n v="10570"/>
    <n v="9926"/>
    <n v="314282.05555555556"/>
    <x v="1"/>
    <n v="54"/>
    <n v="314282.05555555556"/>
    <n v="54"/>
    <n v="314282.05555555556"/>
  </r>
  <r>
    <d v="2020-05-29T00:00:00"/>
    <x v="12"/>
    <n v="232102.5"/>
    <n v="23120443.5"/>
    <n v="59"/>
    <n v="14507"/>
    <n v="13386"/>
    <n v="391871.92372881353"/>
    <x v="0"/>
    <n v="59.142857142857146"/>
    <n v="390925.37318840576"/>
    <n v="59.428571428571431"/>
    <n v="389045.92427884613"/>
  </r>
  <r>
    <d v="2020-05-18T00:00:00"/>
    <x v="13"/>
    <n v="196560"/>
    <n v="19855122"/>
    <n v="54"/>
    <n v="12012"/>
    <n v="11308"/>
    <n v="367687.44444444444"/>
    <x v="2"/>
    <n v="54"/>
    <n v="367687.44444444444"/>
    <n v="54"/>
    <n v="367687.44444444444"/>
  </r>
  <r>
    <d v="2020-05-14T00:00:00"/>
    <x v="13"/>
    <n v="186496.5"/>
    <n v="18640998"/>
    <n v="54"/>
    <n v="11194"/>
    <n v="10554"/>
    <n v="345203.66666666669"/>
    <x v="1"/>
    <n v="54"/>
    <n v="345203.66666666669"/>
    <n v="54"/>
    <n v="345203.66666666669"/>
  </r>
  <r>
    <d v="2020-05-15T00:00:00"/>
    <x v="13"/>
    <n v="219772.5"/>
    <n v="21895294.5"/>
    <n v="54"/>
    <n v="12791"/>
    <n v="11950"/>
    <n v="405468.41666666669"/>
    <x v="1"/>
    <n v="54"/>
    <n v="405468.41666666669"/>
    <n v="54"/>
    <n v="405468.41666666669"/>
  </r>
  <r>
    <d v="2020-05-29T00:00:00"/>
    <x v="13"/>
    <n v="226476"/>
    <n v="22416151.5"/>
    <n v="54"/>
    <n v="14031"/>
    <n v="12943"/>
    <n v="415113.91666666669"/>
    <x v="0"/>
    <n v="54"/>
    <n v="415113.91666666669"/>
    <n v="54"/>
    <n v="415113.91666666669"/>
  </r>
  <r>
    <d v="2020-05-27T00:00:00"/>
    <x v="15"/>
    <n v="8362.5"/>
    <n v="687684"/>
    <n v="7"/>
    <n v="409"/>
    <n v="329"/>
    <n v="98240.571428571435"/>
    <x v="0"/>
    <n v="7"/>
    <n v="98240.571428571435"/>
    <n v="7"/>
    <n v="98240.571428571435"/>
  </r>
  <r>
    <d v="2020-05-22T00:00:00"/>
    <x v="14"/>
    <n v="17008.5"/>
    <n v="1398771"/>
    <n v="18"/>
    <n v="985"/>
    <n v="861"/>
    <n v="77709.5"/>
    <x v="2"/>
    <n v="17.428571428571427"/>
    <n v="80257.352459016402"/>
    <n v="16.285714285714285"/>
    <n v="85889.447368421053"/>
  </r>
  <r>
    <d v="2020-06-01T00:00:00"/>
    <x v="16"/>
    <n v="5166"/>
    <n v="389013"/>
    <n v="9"/>
    <n v="294"/>
    <n v="224"/>
    <n v="43223.666666666664"/>
    <x v="5"/>
    <n v="9"/>
    <n v="43223.666666666664"/>
    <n v="9"/>
    <n v="43223.666666666664"/>
  </r>
  <r>
    <d v="2020-05-11T00:00:00"/>
    <x v="14"/>
    <n v="10941"/>
    <n v="880356"/>
    <n v="15"/>
    <n v="654"/>
    <n v="564"/>
    <n v="58690.400000000001"/>
    <x v="1"/>
    <n v="15.571428571428571"/>
    <n v="56536.623853211007"/>
    <n v="16.285714285714285"/>
    <n v="54056.947368421053"/>
  </r>
  <r>
    <d v="2020-05-18T00:00:00"/>
    <x v="14"/>
    <n v="14497.5"/>
    <n v="1230711"/>
    <n v="16"/>
    <n v="864"/>
    <n v="765"/>
    <n v="76919.4375"/>
    <x v="2"/>
    <n v="17.428571428571427"/>
    <n v="70614.565573770495"/>
    <n v="16.285714285714285"/>
    <n v="75569.973684210534"/>
  </r>
  <r>
    <d v="2020-05-14T00:00:00"/>
    <x v="14"/>
    <n v="13810.5"/>
    <n v="1131676.5"/>
    <n v="16"/>
    <n v="834"/>
    <n v="735"/>
    <n v="70729.78125"/>
    <x v="1"/>
    <n v="15.571428571428571"/>
    <n v="72676.472477064221"/>
    <n v="16.285714285714285"/>
    <n v="69488.90789473684"/>
  </r>
  <r>
    <d v="2020-05-15T00:00:00"/>
    <x v="14"/>
    <n v="13752"/>
    <n v="1091040"/>
    <n v="16"/>
    <n v="817"/>
    <n v="718"/>
    <n v="68190"/>
    <x v="1"/>
    <n v="15.571428571428571"/>
    <n v="70066.788990825691"/>
    <n v="16.285714285714285"/>
    <n v="66993.68421052632"/>
  </r>
  <r>
    <d v="2020-05-27T00:00:00"/>
    <x v="14"/>
    <n v="15276"/>
    <n v="1350199.5"/>
    <n v="18"/>
    <n v="962"/>
    <n v="859"/>
    <n v="75011.083333333328"/>
    <x v="0"/>
    <n v="18"/>
    <n v="75011.083333333328"/>
    <n v="16.285714285714285"/>
    <n v="82906.986842105267"/>
  </r>
  <r>
    <d v="2020-06-01T00:00:00"/>
    <x v="17"/>
    <n v="4408.5"/>
    <n v="410892"/>
    <n v="6"/>
    <n v="237"/>
    <n v="175"/>
    <n v="68482"/>
    <x v="5"/>
    <n v="6"/>
    <n v="68482"/>
    <n v="6"/>
    <n v="68482"/>
  </r>
  <r>
    <d v="2020-05-29T00:00:00"/>
    <x v="15"/>
    <n v="9927"/>
    <n v="850840.5"/>
    <n v="7"/>
    <n v="491"/>
    <n v="411"/>
    <n v="121548.64285714286"/>
    <x v="0"/>
    <n v="7"/>
    <n v="121548.64285714286"/>
    <n v="7"/>
    <n v="121548.64285714286"/>
  </r>
  <r>
    <d v="2020-06-01T00:00:00"/>
    <x v="15"/>
    <n v="9474"/>
    <n v="802447.5"/>
    <n v="7"/>
    <n v="500"/>
    <n v="418"/>
    <n v="114635.35714285714"/>
    <x v="5"/>
    <n v="7"/>
    <n v="114635.35714285714"/>
    <n v="7"/>
    <n v="114635.35714285714"/>
  </r>
  <r>
    <d v="2020-05-29T00:00:00"/>
    <x v="14"/>
    <n v="16878"/>
    <n v="1438255.5"/>
    <n v="18"/>
    <n v="1014"/>
    <n v="893"/>
    <n v="79903.083333333328"/>
    <x v="0"/>
    <n v="18"/>
    <n v="79903.083333333328"/>
    <n v="16.285714285714285"/>
    <n v="88313.93421052632"/>
  </r>
  <r>
    <d v="2020-06-01T00:00:00"/>
    <x v="14"/>
    <n v="14238"/>
    <n v="1293219"/>
    <n v="18"/>
    <n v="923"/>
    <n v="824"/>
    <n v="71845.5"/>
    <x v="5"/>
    <n v="18"/>
    <n v="71845.5"/>
    <n v="16.285714285714285"/>
    <n v="79408.184210526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4E8DB-5DE8-49F6-8EFE-EF84CD231DB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Территории" colHeaderCaption="Недели">
  <location ref="A27:G46" firstHeaderRow="1" firstDataRow="2" firstDataCol="1"/>
  <pivotFields count="13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5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4"/>
        <item x="3"/>
        <item x="1"/>
        <item x="2"/>
        <item x="0"/>
        <item x="5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18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Общий товарооборот на склад, руб (сред.)" fld="10" baseField="0" baseItem="0"/>
  </dataFields>
  <formats count="2">
    <format dxfId="1">
      <pivotArea outline="0" collapsedLevelsAreSubtotals="1" fieldPosition="0"/>
    </format>
    <format dxfId="0">
      <pivotArea dataOnly="0" labelOnly="1" fieldPosition="0">
        <references count="1">
          <reference field="1" count="3">
            <x v="5"/>
            <x v="6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CB83A-C024-4836-ACD4-0ED79EE4AA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Территории" colHeaderCaption="Недели">
  <location ref="A3:H23" firstHeaderRow="1" firstDataRow="2" firstDataCol="1"/>
  <pivotFields count="13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axis="axisCol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Общий товарооборот, руб" fld="3" baseField="0" baseItem="0" numFmtId="165"/>
  </dataFields>
  <formats count="3">
    <format dxfId="4">
      <pivotArea collapsedLevelsAreSubtotals="1" fieldPosition="0">
        <references count="1">
          <reference field="1" count="0"/>
        </references>
      </pivotArea>
    </format>
    <format dxfId="3">
      <pivotArea dataOnly="0" labelOnly="1" fieldPosition="0">
        <references count="1">
          <reference field="1" count="3">
            <x v="6"/>
            <x v="12"/>
            <x v="13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E05AC-5E7D-4D05-B1DD-611EBAED2D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Недели">
  <location ref="A51:C58" firstHeaderRow="0" firstDataRow="1" firstDataCol="1"/>
  <pivotFields count="13"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Общий товарооборот, руб." fld="3" baseField="8" baseItem="0"/>
    <dataField name="Общий товарооборот на склад (сред.)" fld="12" baseField="8" baseItem="2"/>
  </dataFields>
  <formats count="1">
    <format dxfId="5">
      <pivotArea outline="0" collapsedLevelsAreSubtotals="1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H1" zoomScale="96" workbookViewId="0">
      <selection activeCell="N17" sqref="N17"/>
    </sheetView>
  </sheetViews>
  <sheetFormatPr defaultColWidth="14.44140625" defaultRowHeight="15" customHeight="1" x14ac:dyDescent="0.3"/>
  <cols>
    <col min="1" max="1" width="12.109375" bestFit="1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9" width="8.6640625" customWidth="1"/>
    <col min="10" max="10" width="23.88671875" customWidth="1"/>
    <col min="11" max="11" width="43.109375" customWidth="1"/>
    <col min="12" max="12" width="30.21875" customWidth="1"/>
    <col min="13" max="13" width="29.77734375" bestFit="1" customWidth="1"/>
    <col min="14" max="14" width="8.6640625" customWidth="1"/>
    <col min="15" max="15" width="19.44140625" customWidth="1"/>
    <col min="16" max="16" width="13.109375" bestFit="1" customWidth="1"/>
    <col min="17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7" t="s">
        <v>29</v>
      </c>
      <c r="K1" s="17" t="s">
        <v>31</v>
      </c>
      <c r="L1" s="17" t="s">
        <v>30</v>
      </c>
      <c r="M1" s="17" t="s">
        <v>32</v>
      </c>
      <c r="N1" s="18" t="s">
        <v>33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 cm="1">
        <f t="array" ref="E2">_xlfn.XLOOKUP(1, (Лист1!$A2=Лист2!$A$2:$A$505)*(Лист1!$B2=Лист2!$B$2:$B$505),Лист2!$C$2:$C$505)</f>
        <v>15</v>
      </c>
      <c r="F2" s="7" cm="1">
        <f t="array" ref="F2">_xlfn.XLOOKUP(1, (Лист1!$A2=Лист2!$A$2:$A$505)*(Лист1!$B2=Лист2!$B$2:$B$505),Лист2!$D$2:$D$505)</f>
        <v>441</v>
      </c>
      <c r="G2" s="7" cm="1">
        <f t="array" ref="G2">_xlfn.XLOOKUP(1, (Лист1!$A2=Лист2!$A$2:$A$505)*(Лист1!$B2=Лист2!$B$2:$B$505),Лист2!$E$2:$E$505)</f>
        <v>368</v>
      </c>
      <c r="H2">
        <f>$D2/$E2</f>
        <v>41598.1</v>
      </c>
      <c r="I2">
        <f>WEEKNUM($A2,2)</f>
        <v>22</v>
      </c>
      <c r="J2">
        <f>AVERAGEIFS($E$2:$E$505,$I$2:$I$505,$I2,$B$2:$B$505,$B2)</f>
        <v>15</v>
      </c>
      <c r="K2">
        <f>$D2/$J2</f>
        <v>41598.1</v>
      </c>
      <c r="L2">
        <f>AVERAGEIFS($E$2:$E$505,$B$2:$B$505,$B2)</f>
        <v>15</v>
      </c>
      <c r="M2">
        <f>$D2/$L2</f>
        <v>41598.1</v>
      </c>
      <c r="N2" t="s">
        <v>34</v>
      </c>
      <c r="O2" s="15"/>
      <c r="P2" s="15"/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 cm="1">
        <f t="array" ref="E3">_xlfn.XLOOKUP(1, (Лист1!$A3=Лист2!$A$2:$A$505)*(Лист1!$B3=Лист2!$B$2:$B$505),Лист2!$C$2:$C$505)</f>
        <v>15</v>
      </c>
      <c r="F3" s="7" cm="1">
        <f t="array" ref="F3">_xlfn.XLOOKUP(1, (Лист1!$A3=Лист2!$A$2:$A$505)*(Лист1!$B3=Лист2!$B$2:$B$505),Лист2!$D$2:$D$505)</f>
        <v>490</v>
      </c>
      <c r="G3" s="7" cm="1">
        <f t="array" ref="G3">_xlfn.XLOOKUP(1, (Лист1!$A3=Лист2!$A$2:$A$505)*(Лист1!$B3=Лист2!$B$2:$B$505),Лист2!$E$2:$E$505)</f>
        <v>409</v>
      </c>
      <c r="H3">
        <f t="shared" ref="H3:H66" si="0">$D3/$E3</f>
        <v>52473.4</v>
      </c>
      <c r="I3">
        <f t="shared" ref="I3:I66" si="1">WEEKNUM($A3,2)</f>
        <v>22</v>
      </c>
      <c r="J3">
        <f t="shared" ref="J3:J66" si="2">AVERAGEIFS($E$2:$E$505,$I$2:$I$505,$I3,$B$2:$B$505,$B3)</f>
        <v>15</v>
      </c>
      <c r="K3">
        <f t="shared" ref="K3:K66" si="3">$D3/$J3</f>
        <v>52473.4</v>
      </c>
      <c r="L3">
        <f t="shared" ref="L3:L66" si="4">AVERAGEIFS($E$2:$E$505,$B$2:$B$505,$B3)</f>
        <v>15</v>
      </c>
      <c r="M3">
        <f t="shared" ref="M3:M66" si="5">$D3/$L3</f>
        <v>52473.4</v>
      </c>
      <c r="N3" t="s">
        <v>35</v>
      </c>
      <c r="O3" s="15"/>
      <c r="P3" s="15"/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 cm="1">
        <f t="array" ref="E4">_xlfn.XLOOKUP(1, (Лист1!$A4=Лист2!$A$2:$A$505)*(Лист1!$B4=Лист2!$B$2:$B$505),Лист2!$C$2:$C$505)</f>
        <v>15</v>
      </c>
      <c r="F4" s="7" cm="1">
        <f t="array" ref="F4">_xlfn.XLOOKUP(1, (Лист1!$A4=Лист2!$A$2:$A$505)*(Лист1!$B4=Лист2!$B$2:$B$505),Лист2!$D$2:$D$505)</f>
        <v>464</v>
      </c>
      <c r="G4" s="7" cm="1">
        <f t="array" ref="G4">_xlfn.XLOOKUP(1, (Лист1!$A4=Лист2!$A$2:$A$505)*(Лист1!$B4=Лист2!$B$2:$B$505),Лист2!$E$2:$E$505)</f>
        <v>390</v>
      </c>
      <c r="H4">
        <f t="shared" si="0"/>
        <v>42929.599999999999</v>
      </c>
      <c r="I4">
        <f t="shared" si="1"/>
        <v>22</v>
      </c>
      <c r="J4">
        <f t="shared" si="2"/>
        <v>15</v>
      </c>
      <c r="K4">
        <f t="shared" si="3"/>
        <v>42929.599999999999</v>
      </c>
      <c r="L4">
        <f t="shared" si="4"/>
        <v>15</v>
      </c>
      <c r="M4">
        <f t="shared" si="5"/>
        <v>42929.599999999999</v>
      </c>
      <c r="N4" t="s">
        <v>36</v>
      </c>
      <c r="O4" s="15"/>
      <c r="P4" s="15"/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 cm="1">
        <f t="array" ref="E5">_xlfn.XLOOKUP(1, (Лист1!$A5=Лист2!$A$2:$A$505)*(Лист1!$B5=Лист2!$B$2:$B$505),Лист2!$C$2:$C$505)</f>
        <v>21</v>
      </c>
      <c r="F5" s="7" cm="1">
        <f t="array" ref="F5">_xlfn.XLOOKUP(1, (Лист1!$A5=Лист2!$A$2:$A$505)*(Лист1!$B5=Лист2!$B$2:$B$505),Лист2!$D$2:$D$505)</f>
        <v>2145</v>
      </c>
      <c r="G5" s="7" cm="1">
        <f t="array" ref="G5">_xlfn.XLOOKUP(1, (Лист1!$A5=Лист2!$A$2:$A$505)*(Лист1!$B5=Лист2!$B$2:$B$505),Лист2!$E$2:$E$505)</f>
        <v>1947</v>
      </c>
      <c r="H5">
        <f>$D5/$E5</f>
        <v>161709.14285714287</v>
      </c>
      <c r="I5">
        <f t="shared" si="1"/>
        <v>20</v>
      </c>
      <c r="J5">
        <f t="shared" si="2"/>
        <v>21</v>
      </c>
      <c r="K5">
        <f t="shared" si="3"/>
        <v>161709.14285714287</v>
      </c>
      <c r="L5">
        <f t="shared" si="4"/>
        <v>20.285714285714285</v>
      </c>
      <c r="M5">
        <f t="shared" si="5"/>
        <v>167403.12676056338</v>
      </c>
      <c r="N5" t="s">
        <v>37</v>
      </c>
      <c r="O5" s="15"/>
      <c r="P5" s="15"/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 cm="1">
        <f t="array" ref="E6">_xlfn.XLOOKUP(1, (Лист1!$A6=Лист2!$A$2:$A$505)*(Лист1!$B6=Лист2!$B$2:$B$505),Лист2!$C$2:$C$505)</f>
        <v>21</v>
      </c>
      <c r="F6" s="7" cm="1">
        <f t="array" ref="F6">_xlfn.XLOOKUP(1, (Лист1!$A6=Лист2!$A$2:$A$505)*(Лист1!$B6=Лист2!$B$2:$B$505),Лист2!$D$2:$D$505)</f>
        <v>1860</v>
      </c>
      <c r="G6" s="7" cm="1">
        <f t="array" ref="G6">_xlfn.XLOOKUP(1, (Лист1!$A6=Лист2!$A$2:$A$505)*(Лист1!$B6=Лист2!$B$2:$B$505),Лист2!$E$2:$E$505)</f>
        <v>1704</v>
      </c>
      <c r="H6">
        <f t="shared" si="0"/>
        <v>131957.92857142858</v>
      </c>
      <c r="I6">
        <f t="shared" si="1"/>
        <v>21</v>
      </c>
      <c r="J6">
        <f t="shared" si="2"/>
        <v>20.857142857142858</v>
      </c>
      <c r="K6">
        <f t="shared" si="3"/>
        <v>132861.75</v>
      </c>
      <c r="L6">
        <f t="shared" si="4"/>
        <v>20.285714285714285</v>
      </c>
      <c r="M6">
        <f t="shared" si="5"/>
        <v>136604.33450704225</v>
      </c>
      <c r="N6" t="s">
        <v>38</v>
      </c>
      <c r="O6" s="15"/>
      <c r="P6" s="15"/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 cm="1">
        <f t="array" ref="E7">_xlfn.XLOOKUP(1, (Лист1!$A7=Лист2!$A$2:$A$505)*(Лист1!$B7=Лист2!$B$2:$B$505),Лист2!$C$2:$C$505)</f>
        <v>21</v>
      </c>
      <c r="F7" s="7" cm="1">
        <f t="array" ref="F7">_xlfn.XLOOKUP(1, (Лист1!$A7=Лист2!$A$2:$A$505)*(Лист1!$B7=Лист2!$B$2:$B$505),Лист2!$D$2:$D$505)</f>
        <v>1874</v>
      </c>
      <c r="G7" s="7" cm="1">
        <f t="array" ref="G7">_xlfn.XLOOKUP(1, (Лист1!$A7=Лист2!$A$2:$A$505)*(Лист1!$B7=Лист2!$B$2:$B$505),Лист2!$E$2:$E$505)</f>
        <v>1705</v>
      </c>
      <c r="H7">
        <f t="shared" si="0"/>
        <v>137259.92857142858</v>
      </c>
      <c r="I7">
        <f t="shared" si="1"/>
        <v>20</v>
      </c>
      <c r="J7">
        <f t="shared" si="2"/>
        <v>21</v>
      </c>
      <c r="K7">
        <f t="shared" si="3"/>
        <v>137259.92857142858</v>
      </c>
      <c r="L7">
        <f t="shared" si="4"/>
        <v>20.285714285714285</v>
      </c>
      <c r="M7">
        <f t="shared" si="5"/>
        <v>142093.02464788733</v>
      </c>
      <c r="O7" s="15"/>
      <c r="P7" s="15"/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 cm="1">
        <f t="array" ref="E8">_xlfn.XLOOKUP(1, (Лист1!$A8=Лист2!$A$2:$A$505)*(Лист1!$B8=Лист2!$B$2:$B$505),Лист2!$C$2:$C$505)</f>
        <v>21</v>
      </c>
      <c r="F8" s="7" cm="1">
        <f t="array" ref="F8">_xlfn.XLOOKUP(1, (Лист1!$A8=Лист2!$A$2:$A$505)*(Лист1!$B8=Лист2!$B$2:$B$505),Лист2!$D$2:$D$505)</f>
        <v>1735</v>
      </c>
      <c r="G8" s="7" cm="1">
        <f t="array" ref="G8">_xlfn.XLOOKUP(1, (Лист1!$A8=Лист2!$A$2:$A$505)*(Лист1!$B8=Лист2!$B$2:$B$505),Лист2!$E$2:$E$505)</f>
        <v>1568</v>
      </c>
      <c r="H8">
        <f t="shared" si="0"/>
        <v>134810.42857142858</v>
      </c>
      <c r="I8">
        <f t="shared" si="1"/>
        <v>19</v>
      </c>
      <c r="J8">
        <f t="shared" si="2"/>
        <v>20.571428571428573</v>
      </c>
      <c r="K8">
        <f t="shared" si="3"/>
        <v>137618.97916666666</v>
      </c>
      <c r="L8">
        <f t="shared" si="4"/>
        <v>20.285714285714285</v>
      </c>
      <c r="M8">
        <f t="shared" si="5"/>
        <v>139557.27464788733</v>
      </c>
      <c r="N8" s="20" t="s">
        <v>46</v>
      </c>
      <c r="O8" s="15"/>
      <c r="P8" s="15"/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 cm="1">
        <f t="array" ref="E9">_xlfn.XLOOKUP(1, (Лист1!$A9=Лист2!$A$2:$A$505)*(Лист1!$B9=Лист2!$B$2:$B$505),Лист2!$C$2:$C$505)</f>
        <v>20</v>
      </c>
      <c r="F9" s="7" cm="1">
        <f t="array" ref="F9">_xlfn.XLOOKUP(1, (Лист1!$A9=Лист2!$A$2:$A$505)*(Лист1!$B9=Лист2!$B$2:$B$505),Лист2!$D$2:$D$505)</f>
        <v>1519</v>
      </c>
      <c r="G9" s="7" cm="1">
        <f t="array" ref="G9">_xlfn.XLOOKUP(1, (Лист1!$A9=Лист2!$A$2:$A$505)*(Лист1!$B9=Лист2!$B$2:$B$505),Лист2!$E$2:$E$505)</f>
        <v>1372</v>
      </c>
      <c r="H9">
        <f t="shared" si="0"/>
        <v>118615.5</v>
      </c>
      <c r="I9">
        <f t="shared" si="1"/>
        <v>19</v>
      </c>
      <c r="J9">
        <f t="shared" si="2"/>
        <v>20.571428571428573</v>
      </c>
      <c r="K9">
        <f t="shared" si="3"/>
        <v>115320.62499999999</v>
      </c>
      <c r="L9">
        <f t="shared" si="4"/>
        <v>20.285714285714285</v>
      </c>
      <c r="M9">
        <f t="shared" si="5"/>
        <v>116944.85915492958</v>
      </c>
      <c r="N9" s="20" t="s">
        <v>47</v>
      </c>
      <c r="O9" s="15"/>
      <c r="P9" s="15"/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 cm="1">
        <f t="array" ref="E10">_xlfn.XLOOKUP(1, (Лист1!$A10=Лист2!$A$2:$A$505)*(Лист1!$B10=Лист2!$B$2:$B$505),Лист2!$C$2:$C$505)</f>
        <v>18</v>
      </c>
      <c r="F10" s="7" cm="1">
        <f t="array" ref="F10">_xlfn.XLOOKUP(1, (Лист1!$A10=Лист2!$A$2:$A$505)*(Лист1!$B10=Лист2!$B$2:$B$505),Лист2!$D$2:$D$505)</f>
        <v>1684</v>
      </c>
      <c r="G10" s="7" cm="1">
        <f t="array" ref="G10">_xlfn.XLOOKUP(1, (Лист1!$A10=Лист2!$A$2:$A$505)*(Лист1!$B10=Лист2!$B$2:$B$505),Лист2!$E$2:$E$505)</f>
        <v>1528</v>
      </c>
      <c r="H10">
        <f t="shared" si="0"/>
        <v>145748.91666666666</v>
      </c>
      <c r="I10">
        <f t="shared" si="1"/>
        <v>18</v>
      </c>
      <c r="J10">
        <f t="shared" si="2"/>
        <v>18.5</v>
      </c>
      <c r="K10">
        <f t="shared" si="3"/>
        <v>141809.75675675675</v>
      </c>
      <c r="L10">
        <f t="shared" si="4"/>
        <v>20.285714285714285</v>
      </c>
      <c r="M10">
        <f t="shared" si="5"/>
        <v>129326.50352112677</v>
      </c>
      <c r="N10" s="20" t="s">
        <v>48</v>
      </c>
      <c r="O10" s="15"/>
      <c r="P10" s="15"/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 cm="1">
        <f t="array" ref="E11">_xlfn.XLOOKUP(1, (Лист1!$A11=Лист2!$A$2:$A$505)*(Лист1!$B11=Лист2!$B$2:$B$505),Лист2!$C$2:$C$505)</f>
        <v>18</v>
      </c>
      <c r="F11" s="7" cm="1">
        <f t="array" ref="F11">_xlfn.XLOOKUP(1, (Лист1!$A11=Лист2!$A$2:$A$505)*(Лист1!$B11=Лист2!$B$2:$B$505),Лист2!$D$2:$D$505)</f>
        <v>1708</v>
      </c>
      <c r="G11" s="7" cm="1">
        <f t="array" ref="G11">_xlfn.XLOOKUP(1, (Лист1!$A11=Лист2!$A$2:$A$505)*(Лист1!$B11=Лист2!$B$2:$B$505),Лист2!$E$2:$E$505)</f>
        <v>1534</v>
      </c>
      <c r="H11">
        <f t="shared" si="0"/>
        <v>150624.83333333334</v>
      </c>
      <c r="I11">
        <f t="shared" si="1"/>
        <v>18</v>
      </c>
      <c r="J11">
        <f t="shared" si="2"/>
        <v>18.5</v>
      </c>
      <c r="K11">
        <f t="shared" si="3"/>
        <v>146553.89189189189</v>
      </c>
      <c r="L11">
        <f t="shared" si="4"/>
        <v>20.285714285714285</v>
      </c>
      <c r="M11">
        <f t="shared" si="5"/>
        <v>133653.02112676058</v>
      </c>
      <c r="O11" s="15"/>
      <c r="P11" s="15"/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 cm="1">
        <f t="array" ref="E12">_xlfn.XLOOKUP(1, (Лист1!$A12=Лист2!$A$2:$A$505)*(Лист1!$B12=Лист2!$B$2:$B$505),Лист2!$C$2:$C$505)</f>
        <v>20</v>
      </c>
      <c r="F12" s="7" cm="1">
        <f t="array" ref="F12">_xlfn.XLOOKUP(1, (Лист1!$A12=Лист2!$A$2:$A$505)*(Лист1!$B12=Лист2!$B$2:$B$505),Лист2!$D$2:$D$505)</f>
        <v>2044</v>
      </c>
      <c r="G12" s="7" cm="1">
        <f t="array" ref="G12">_xlfn.XLOOKUP(1, (Лист1!$A12=Лист2!$A$2:$A$505)*(Лист1!$B12=Лист2!$B$2:$B$505),Лист2!$E$2:$E$505)</f>
        <v>1863</v>
      </c>
      <c r="H12">
        <f t="shared" si="0"/>
        <v>148516.5</v>
      </c>
      <c r="I12">
        <f t="shared" si="1"/>
        <v>22</v>
      </c>
      <c r="J12">
        <f t="shared" si="2"/>
        <v>20.142857142857142</v>
      </c>
      <c r="K12">
        <f t="shared" si="3"/>
        <v>147463.19148936169</v>
      </c>
      <c r="L12">
        <f t="shared" si="4"/>
        <v>20.285714285714285</v>
      </c>
      <c r="M12">
        <f t="shared" si="5"/>
        <v>146424.71830985916</v>
      </c>
      <c r="O12" s="15"/>
      <c r="P12" s="15"/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 cm="1">
        <f t="array" ref="E13">_xlfn.XLOOKUP(1, (Лист1!$A13=Лист2!$A$2:$A$505)*(Лист1!$B13=Лист2!$B$2:$B$505),Лист2!$C$2:$C$505)</f>
        <v>18</v>
      </c>
      <c r="F13" s="7" cm="1">
        <f t="array" ref="F13">_xlfn.XLOOKUP(1, (Лист1!$A13=Лист2!$A$2:$A$505)*(Лист1!$B13=Лист2!$B$2:$B$505),Лист2!$D$2:$D$505)</f>
        <v>1826</v>
      </c>
      <c r="G13" s="7" cm="1">
        <f t="array" ref="G13">_xlfn.XLOOKUP(1, (Лист1!$A13=Лист2!$A$2:$A$505)*(Лист1!$B13=Лист2!$B$2:$B$505),Лист2!$E$2:$E$505)</f>
        <v>1633</v>
      </c>
      <c r="H13">
        <f t="shared" si="0"/>
        <v>168403</v>
      </c>
      <c r="I13">
        <f t="shared" si="1"/>
        <v>18</v>
      </c>
      <c r="J13">
        <f t="shared" si="2"/>
        <v>18.5</v>
      </c>
      <c r="K13">
        <f t="shared" si="3"/>
        <v>163851.56756756757</v>
      </c>
      <c r="L13">
        <f t="shared" si="4"/>
        <v>20.285714285714285</v>
      </c>
      <c r="M13">
        <f t="shared" si="5"/>
        <v>149428.01408450704</v>
      </c>
      <c r="O13" s="15"/>
      <c r="P13" s="15"/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 cm="1">
        <f t="array" ref="E14">_xlfn.XLOOKUP(1, (Лист1!$A14=Лист2!$A$2:$A$505)*(Лист1!$B14=Лист2!$B$2:$B$505),Лист2!$C$2:$C$505)</f>
        <v>21</v>
      </c>
      <c r="F14" s="7" cm="1">
        <f t="array" ref="F14">_xlfn.XLOOKUP(1, (Лист1!$A14=Лист2!$A$2:$A$505)*(Лист1!$B14=Лист2!$B$2:$B$505),Лист2!$D$2:$D$505)</f>
        <v>1656</v>
      </c>
      <c r="G14" s="7" cm="1">
        <f t="array" ref="G14">_xlfn.XLOOKUP(1, (Лист1!$A14=Лист2!$A$2:$A$505)*(Лист1!$B14=Лист2!$B$2:$B$505),Лист2!$E$2:$E$505)</f>
        <v>1516</v>
      </c>
      <c r="H14">
        <f t="shared" si="0"/>
        <v>123608.5</v>
      </c>
      <c r="I14">
        <f t="shared" si="1"/>
        <v>20</v>
      </c>
      <c r="J14">
        <f t="shared" si="2"/>
        <v>21</v>
      </c>
      <c r="K14">
        <f t="shared" si="3"/>
        <v>123608.5</v>
      </c>
      <c r="L14">
        <f t="shared" si="4"/>
        <v>20.285714285714285</v>
      </c>
      <c r="M14">
        <f t="shared" si="5"/>
        <v>127960.911971831</v>
      </c>
      <c r="O14" s="15"/>
      <c r="P14" s="15"/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 cm="1">
        <f t="array" ref="E15">_xlfn.XLOOKUP(1, (Лист1!$A15=Лист2!$A$2:$A$505)*(Лист1!$B15=Лист2!$B$2:$B$505),Лист2!$C$2:$C$505)</f>
        <v>21</v>
      </c>
      <c r="F15" s="7" cm="1">
        <f t="array" ref="F15">_xlfn.XLOOKUP(1, (Лист1!$A15=Лист2!$A$2:$A$505)*(Лист1!$B15=Лист2!$B$2:$B$505),Лист2!$D$2:$D$505)</f>
        <v>1787</v>
      </c>
      <c r="G15" s="7" cm="1">
        <f t="array" ref="G15">_xlfn.XLOOKUP(1, (Лист1!$A15=Лист2!$A$2:$A$505)*(Лист1!$B15=Лист2!$B$2:$B$505),Лист2!$E$2:$E$505)</f>
        <v>1626</v>
      </c>
      <c r="H15">
        <f t="shared" si="0"/>
        <v>130684.85714285714</v>
      </c>
      <c r="I15">
        <f t="shared" si="1"/>
        <v>21</v>
      </c>
      <c r="J15">
        <f t="shared" si="2"/>
        <v>20.857142857142858</v>
      </c>
      <c r="K15">
        <f t="shared" si="3"/>
        <v>131579.95890410958</v>
      </c>
      <c r="L15">
        <f t="shared" si="4"/>
        <v>20.285714285714285</v>
      </c>
      <c r="M15">
        <f t="shared" si="5"/>
        <v>135286.43661971833</v>
      </c>
      <c r="O15" s="15"/>
      <c r="P15" s="15"/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 cm="1">
        <f t="array" ref="E16">_xlfn.XLOOKUP(1, (Лист1!$A16=Лист2!$A$2:$A$505)*(Лист1!$B16=Лист2!$B$2:$B$505),Лист2!$C$2:$C$505)</f>
        <v>21</v>
      </c>
      <c r="F16" s="7" cm="1">
        <f t="array" ref="F16">_xlfn.XLOOKUP(1, (Лист1!$A16=Лист2!$A$2:$A$505)*(Лист1!$B16=Лист2!$B$2:$B$505),Лист2!$D$2:$D$505)</f>
        <v>1921</v>
      </c>
      <c r="G16" s="7" cm="1">
        <f t="array" ref="G16">_xlfn.XLOOKUP(1, (Лист1!$A16=Лист2!$A$2:$A$505)*(Лист1!$B16=Лист2!$B$2:$B$505),Лист2!$E$2:$E$505)</f>
        <v>1767</v>
      </c>
      <c r="H16">
        <f t="shared" si="0"/>
        <v>139491.92857142858</v>
      </c>
      <c r="I16">
        <f t="shared" si="1"/>
        <v>21</v>
      </c>
      <c r="J16">
        <f t="shared" si="2"/>
        <v>20.857142857142858</v>
      </c>
      <c r="K16">
        <f t="shared" si="3"/>
        <v>140447.35273972602</v>
      </c>
      <c r="L16">
        <f t="shared" si="4"/>
        <v>20.285714285714285</v>
      </c>
      <c r="M16">
        <f t="shared" si="5"/>
        <v>144403.61619718312</v>
      </c>
      <c r="O16" s="15"/>
      <c r="P16" s="15"/>
    </row>
    <row r="17" spans="1:16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 cm="1">
        <f t="array" ref="E17">_xlfn.XLOOKUP(1, (Лист1!$A17=Лист2!$A$2:$A$505)*(Лист1!$B17=Лист2!$B$2:$B$505),Лист2!$C$2:$C$505)</f>
        <v>20</v>
      </c>
      <c r="F17" s="7" cm="1">
        <f t="array" ref="F17">_xlfn.XLOOKUP(1, (Лист1!$A17=Лист2!$A$2:$A$505)*(Лист1!$B17=Лист2!$B$2:$B$505),Лист2!$D$2:$D$505)</f>
        <v>1773</v>
      </c>
      <c r="G17" s="7" cm="1">
        <f t="array" ref="G17">_xlfn.XLOOKUP(1, (Лист1!$A17=Лист2!$A$2:$A$505)*(Лист1!$B17=Лист2!$B$2:$B$505),Лист2!$E$2:$E$505)</f>
        <v>1604</v>
      </c>
      <c r="H17">
        <f t="shared" si="0"/>
        <v>145338.15</v>
      </c>
      <c r="I17">
        <f t="shared" si="1"/>
        <v>19</v>
      </c>
      <c r="J17">
        <f t="shared" si="2"/>
        <v>20.571428571428573</v>
      </c>
      <c r="K17">
        <f t="shared" si="3"/>
        <v>141300.97916666666</v>
      </c>
      <c r="L17">
        <f t="shared" si="4"/>
        <v>20.285714285714285</v>
      </c>
      <c r="M17">
        <f t="shared" si="5"/>
        <v>143291.13380281691</v>
      </c>
      <c r="O17" s="15"/>
      <c r="P17" s="15"/>
    </row>
    <row r="18" spans="1:16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 cm="1">
        <f t="array" ref="E18">_xlfn.XLOOKUP(1, (Лист1!$A18=Лист2!$A$2:$A$505)*(Лист1!$B18=Лист2!$B$2:$B$505),Лист2!$C$2:$C$505)</f>
        <v>18</v>
      </c>
      <c r="F18" s="7" cm="1">
        <f t="array" ref="F18">_xlfn.XLOOKUP(1, (Лист1!$A18=Лист2!$A$2:$A$505)*(Лист1!$B18=Лист2!$B$2:$B$505),Лист2!$D$2:$D$505)</f>
        <v>1539</v>
      </c>
      <c r="G18" s="7" cm="1">
        <f t="array" ref="G18">_xlfn.XLOOKUP(1, (Лист1!$A18=Лист2!$A$2:$A$505)*(Лист1!$B18=Лист2!$B$2:$B$505),Лист2!$E$2:$E$505)</f>
        <v>1404</v>
      </c>
      <c r="H18">
        <f t="shared" si="0"/>
        <v>133977.08333333334</v>
      </c>
      <c r="I18">
        <f t="shared" si="1"/>
        <v>18</v>
      </c>
      <c r="J18">
        <f t="shared" si="2"/>
        <v>18.5</v>
      </c>
      <c r="K18">
        <f t="shared" si="3"/>
        <v>130356.08108108108</v>
      </c>
      <c r="L18">
        <f t="shared" si="4"/>
        <v>20.285714285714285</v>
      </c>
      <c r="M18">
        <f t="shared" si="5"/>
        <v>118881.07394366198</v>
      </c>
      <c r="O18" s="15"/>
      <c r="P18" s="15"/>
    </row>
    <row r="19" spans="1:16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 cm="1">
        <f t="array" ref="E19">_xlfn.XLOOKUP(1, (Лист1!$A19=Лист2!$A$2:$A$505)*(Лист1!$B19=Лист2!$B$2:$B$505),Лист2!$C$2:$C$505)</f>
        <v>21</v>
      </c>
      <c r="F19" s="7" cm="1">
        <f t="array" ref="F19">_xlfn.XLOOKUP(1, (Лист1!$A19=Лист2!$A$2:$A$505)*(Лист1!$B19=Лист2!$B$2:$B$505),Лист2!$D$2:$D$505)</f>
        <v>1698</v>
      </c>
      <c r="G19" s="7" cm="1">
        <f t="array" ref="G19">_xlfn.XLOOKUP(1, (Лист1!$A19=Лист2!$A$2:$A$505)*(Лист1!$B19=Лист2!$B$2:$B$505),Лист2!$E$2:$E$505)</f>
        <v>1554</v>
      </c>
      <c r="H19">
        <f t="shared" si="0"/>
        <v>125227.71428571429</v>
      </c>
      <c r="I19">
        <f t="shared" si="1"/>
        <v>20</v>
      </c>
      <c r="J19">
        <f t="shared" si="2"/>
        <v>21</v>
      </c>
      <c r="K19">
        <f t="shared" si="3"/>
        <v>125227.71428571429</v>
      </c>
      <c r="L19">
        <f t="shared" si="4"/>
        <v>20.285714285714285</v>
      </c>
      <c r="M19">
        <f t="shared" si="5"/>
        <v>129637.14084507043</v>
      </c>
      <c r="O19" s="15"/>
      <c r="P19" s="15"/>
    </row>
    <row r="20" spans="1:16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 cm="1">
        <f t="array" ref="E20">_xlfn.XLOOKUP(1, (Лист1!$A20=Лист2!$A$2:$A$505)*(Лист1!$B20=Лист2!$B$2:$B$505),Лист2!$C$2:$C$505)</f>
        <v>20</v>
      </c>
      <c r="F20" s="7" cm="1">
        <f t="array" ref="F20">_xlfn.XLOOKUP(1, (Лист1!$A20=Лист2!$A$2:$A$505)*(Лист1!$B20=Лист2!$B$2:$B$505),Лист2!$D$2:$D$505)</f>
        <v>1520</v>
      </c>
      <c r="G20" s="7" cm="1">
        <f t="array" ref="G20">_xlfn.XLOOKUP(1, (Лист1!$A20=Лист2!$A$2:$A$505)*(Лист1!$B20=Лист2!$B$2:$B$505),Лист2!$E$2:$E$505)</f>
        <v>1373</v>
      </c>
      <c r="H20">
        <f t="shared" si="0"/>
        <v>121745.7</v>
      </c>
      <c r="I20">
        <f t="shared" si="1"/>
        <v>18</v>
      </c>
      <c r="J20">
        <f t="shared" si="2"/>
        <v>18.5</v>
      </c>
      <c r="K20">
        <f t="shared" si="3"/>
        <v>131616.97297297296</v>
      </c>
      <c r="L20">
        <f t="shared" si="4"/>
        <v>20.285714285714285</v>
      </c>
      <c r="M20">
        <f t="shared" si="5"/>
        <v>120030.97183098592</v>
      </c>
      <c r="O20" s="15"/>
      <c r="P20" s="15"/>
    </row>
    <row r="21" spans="1:16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 cm="1">
        <f t="array" ref="E21">_xlfn.XLOOKUP(1, (Лист1!$A21=Лист2!$A$2:$A$505)*(Лист1!$B21=Лист2!$B$2:$B$505),Лист2!$C$2:$C$505)</f>
        <v>20</v>
      </c>
      <c r="F21" s="7" cm="1">
        <f t="array" ref="F21">_xlfn.XLOOKUP(1, (Лист1!$A21=Лист2!$A$2:$A$505)*(Лист1!$B21=Лист2!$B$2:$B$505),Лист2!$D$2:$D$505)</f>
        <v>1784</v>
      </c>
      <c r="G21" s="7" cm="1">
        <f t="array" ref="G21">_xlfn.XLOOKUP(1, (Лист1!$A21=Лист2!$A$2:$A$505)*(Лист1!$B21=Лист2!$B$2:$B$505),Лист2!$E$2:$E$505)</f>
        <v>1632</v>
      </c>
      <c r="H21">
        <f t="shared" si="0"/>
        <v>146931.15</v>
      </c>
      <c r="I21">
        <f t="shared" si="1"/>
        <v>19</v>
      </c>
      <c r="J21">
        <f t="shared" si="2"/>
        <v>20.571428571428573</v>
      </c>
      <c r="K21">
        <f t="shared" si="3"/>
        <v>142849.72916666666</v>
      </c>
      <c r="L21">
        <f t="shared" si="4"/>
        <v>20.285714285714285</v>
      </c>
      <c r="M21">
        <f t="shared" si="5"/>
        <v>144861.69718309859</v>
      </c>
      <c r="O21" s="15"/>
      <c r="P21" s="15"/>
    </row>
    <row r="22" spans="1:16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 cm="1">
        <f t="array" ref="E22">_xlfn.XLOOKUP(1, (Лист1!$A22=Лист2!$A$2:$A$505)*(Лист1!$B22=Лист2!$B$2:$B$505),Лист2!$C$2:$C$505)</f>
        <v>21</v>
      </c>
      <c r="F22" s="7" cm="1">
        <f t="array" ref="F22">_xlfn.XLOOKUP(1, (Лист1!$A22=Лист2!$A$2:$A$505)*(Лист1!$B22=Лист2!$B$2:$B$505),Лист2!$D$2:$D$505)</f>
        <v>2340</v>
      </c>
      <c r="G22" s="7" cm="1">
        <f t="array" ref="G22">_xlfn.XLOOKUP(1, (Лист1!$A22=Лист2!$A$2:$A$505)*(Лист1!$B22=Лист2!$B$2:$B$505),Лист2!$E$2:$E$505)</f>
        <v>2146</v>
      </c>
      <c r="H22">
        <f t="shared" si="0"/>
        <v>172796.5</v>
      </c>
      <c r="I22">
        <f t="shared" si="1"/>
        <v>21</v>
      </c>
      <c r="J22">
        <f t="shared" si="2"/>
        <v>20.857142857142858</v>
      </c>
      <c r="K22">
        <f t="shared" si="3"/>
        <v>173980.03767123286</v>
      </c>
      <c r="L22">
        <f t="shared" si="4"/>
        <v>20.285714285714285</v>
      </c>
      <c r="M22">
        <f t="shared" si="5"/>
        <v>178880.88380281691</v>
      </c>
      <c r="O22" s="15"/>
      <c r="P22" s="15"/>
    </row>
    <row r="23" spans="1:16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 cm="1">
        <f t="array" ref="E23">_xlfn.XLOOKUP(1, (Лист1!$A23=Лист2!$A$2:$A$505)*(Лист1!$B23=Лист2!$B$2:$B$505),Лист2!$C$2:$C$505)</f>
        <v>20</v>
      </c>
      <c r="F23" s="7" cm="1">
        <f t="array" ref="F23">_xlfn.XLOOKUP(1, (Лист1!$A23=Лист2!$A$2:$A$505)*(Лист1!$B23=Лист2!$B$2:$B$505),Лист2!$D$2:$D$505)</f>
        <v>2087</v>
      </c>
      <c r="G23" s="7" cm="1">
        <f t="array" ref="G23">_xlfn.XLOOKUP(1, (Лист1!$A23=Лист2!$A$2:$A$505)*(Лист1!$B23=Лист2!$B$2:$B$505),Лист2!$E$2:$E$505)</f>
        <v>1914</v>
      </c>
      <c r="H23">
        <f t="shared" si="0"/>
        <v>158829</v>
      </c>
      <c r="I23">
        <f t="shared" si="1"/>
        <v>22</v>
      </c>
      <c r="J23">
        <f t="shared" si="2"/>
        <v>20.142857142857142</v>
      </c>
      <c r="K23">
        <f t="shared" si="3"/>
        <v>157702.55319148937</v>
      </c>
      <c r="L23">
        <f t="shared" si="4"/>
        <v>20.285714285714285</v>
      </c>
      <c r="M23">
        <f t="shared" si="5"/>
        <v>156591.97183098592</v>
      </c>
      <c r="O23" s="15"/>
      <c r="P23" s="15"/>
    </row>
    <row r="24" spans="1:16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 cm="1">
        <f t="array" ref="E24">_xlfn.XLOOKUP(1, (Лист1!$A24=Лист2!$A$2:$A$505)*(Лист1!$B24=Лист2!$B$2:$B$505),Лист2!$C$2:$C$505)</f>
        <v>19</v>
      </c>
      <c r="F24" s="7" cm="1">
        <f t="array" ref="F24">_xlfn.XLOOKUP(1, (Лист1!$A24=Лист2!$A$2:$A$505)*(Лист1!$B24=Лист2!$B$2:$B$505),Лист2!$D$2:$D$505)</f>
        <v>1712</v>
      </c>
      <c r="G24" s="7" cm="1">
        <f t="array" ref="G24">_xlfn.XLOOKUP(1, (Лист1!$A24=Лист2!$A$2:$A$505)*(Лист1!$B24=Лист2!$B$2:$B$505),Лист2!$E$2:$E$505)</f>
        <v>1552</v>
      </c>
      <c r="H24">
        <f t="shared" si="0"/>
        <v>148273.5</v>
      </c>
      <c r="I24">
        <f t="shared" si="1"/>
        <v>18</v>
      </c>
      <c r="J24">
        <f t="shared" si="2"/>
        <v>18.5</v>
      </c>
      <c r="K24">
        <f t="shared" si="3"/>
        <v>152280.89189189189</v>
      </c>
      <c r="L24">
        <f t="shared" si="4"/>
        <v>20.285714285714285</v>
      </c>
      <c r="M24">
        <f t="shared" si="5"/>
        <v>138875.88380281691</v>
      </c>
      <c r="O24" s="15"/>
      <c r="P24" s="15"/>
    </row>
    <row r="25" spans="1:16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 cm="1">
        <f t="array" ref="E25">_xlfn.XLOOKUP(1, (Лист1!$A25=Лист2!$A$2:$A$505)*(Лист1!$B25=Лист2!$B$2:$B$505),Лист2!$C$2:$C$505)</f>
        <v>21</v>
      </c>
      <c r="F25" s="7" cm="1">
        <f t="array" ref="F25">_xlfn.XLOOKUP(1, (Лист1!$A25=Лист2!$A$2:$A$505)*(Лист1!$B25=Лист2!$B$2:$B$505),Лист2!$D$2:$D$505)</f>
        <v>2016</v>
      </c>
      <c r="G25" s="7" cm="1">
        <f t="array" ref="G25">_xlfn.XLOOKUP(1, (Лист1!$A25=Лист2!$A$2:$A$505)*(Лист1!$B25=Лист2!$B$2:$B$505),Лист2!$E$2:$E$505)</f>
        <v>1846</v>
      </c>
      <c r="H25">
        <f t="shared" si="0"/>
        <v>157760.35714285713</v>
      </c>
      <c r="I25">
        <f t="shared" si="1"/>
        <v>19</v>
      </c>
      <c r="J25">
        <f t="shared" si="2"/>
        <v>20.571428571428573</v>
      </c>
      <c r="K25">
        <f t="shared" si="3"/>
        <v>161047.03125</v>
      </c>
      <c r="L25">
        <f t="shared" si="4"/>
        <v>20.285714285714285</v>
      </c>
      <c r="M25">
        <f t="shared" si="5"/>
        <v>163315.29929577466</v>
      </c>
      <c r="O25" s="15"/>
      <c r="P25" s="15"/>
    </row>
    <row r="26" spans="1:16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 cm="1">
        <f t="array" ref="E26">_xlfn.XLOOKUP(1, (Лист1!$A26=Лист2!$A$2:$A$505)*(Лист1!$B26=Лист2!$B$2:$B$505),Лист2!$C$2:$C$505)</f>
        <v>21</v>
      </c>
      <c r="F26" s="7" cm="1">
        <f t="array" ref="F26">_xlfn.XLOOKUP(1, (Лист1!$A26=Лист2!$A$2:$A$505)*(Лист1!$B26=Лист2!$B$2:$B$505),Лист2!$D$2:$D$505)</f>
        <v>1646</v>
      </c>
      <c r="G26" s="7" cm="1">
        <f t="array" ref="G26">_xlfn.XLOOKUP(1, (Лист1!$A26=Лист2!$A$2:$A$505)*(Лист1!$B26=Лист2!$B$2:$B$505),Лист2!$E$2:$E$505)</f>
        <v>1492</v>
      </c>
      <c r="H26">
        <f t="shared" si="0"/>
        <v>125960</v>
      </c>
      <c r="I26">
        <f t="shared" si="1"/>
        <v>19</v>
      </c>
      <c r="J26">
        <f t="shared" si="2"/>
        <v>20.571428571428573</v>
      </c>
      <c r="K26">
        <f t="shared" si="3"/>
        <v>128584.16666666666</v>
      </c>
      <c r="L26">
        <f t="shared" si="4"/>
        <v>20.285714285714285</v>
      </c>
      <c r="M26">
        <f t="shared" si="5"/>
        <v>130395.21126760564</v>
      </c>
      <c r="O26" s="15"/>
      <c r="P26" s="15"/>
    </row>
    <row r="27" spans="1:16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 cm="1">
        <f t="array" ref="E27">_xlfn.XLOOKUP(1, (Лист1!$A27=Лист2!$A$2:$A$505)*(Лист1!$B27=Лист2!$B$2:$B$505),Лист2!$C$2:$C$505)</f>
        <v>21</v>
      </c>
      <c r="F27" s="7" cm="1">
        <f t="array" ref="F27">_xlfn.XLOOKUP(1, (Лист1!$A27=Лист2!$A$2:$A$505)*(Лист1!$B27=Лист2!$B$2:$B$505),Лист2!$D$2:$D$505)</f>
        <v>1542</v>
      </c>
      <c r="G27" s="7" cm="1">
        <f t="array" ref="G27">_xlfn.XLOOKUP(1, (Лист1!$A27=Лист2!$A$2:$A$505)*(Лист1!$B27=Лист2!$B$2:$B$505),Лист2!$E$2:$E$505)</f>
        <v>1405</v>
      </c>
      <c r="H27">
        <f t="shared" si="0"/>
        <v>117724.42857142857</v>
      </c>
      <c r="I27">
        <f t="shared" si="1"/>
        <v>19</v>
      </c>
      <c r="J27">
        <f t="shared" si="2"/>
        <v>20.571428571428573</v>
      </c>
      <c r="K27">
        <f t="shared" si="3"/>
        <v>120177.02083333333</v>
      </c>
      <c r="L27">
        <f t="shared" si="4"/>
        <v>20.285714285714285</v>
      </c>
      <c r="M27">
        <f t="shared" si="5"/>
        <v>121869.65492957747</v>
      </c>
      <c r="O27" s="15"/>
      <c r="P27" s="15"/>
    </row>
    <row r="28" spans="1:16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 cm="1">
        <f t="array" ref="E28">_xlfn.XLOOKUP(1, (Лист1!$A28=Лист2!$A$2:$A$505)*(Лист1!$B28=Лист2!$B$2:$B$505),Лист2!$C$2:$C$505)</f>
        <v>20</v>
      </c>
      <c r="F28" s="7" cm="1">
        <f t="array" ref="F28">_xlfn.XLOOKUP(1, (Лист1!$A28=Лист2!$A$2:$A$505)*(Лист1!$B28=Лист2!$B$2:$B$505),Лист2!$D$2:$D$505)</f>
        <v>1999</v>
      </c>
      <c r="G28" s="7" cm="1">
        <f t="array" ref="G28">_xlfn.XLOOKUP(1, (Лист1!$A28=Лист2!$A$2:$A$505)*(Лист1!$B28=Лист2!$B$2:$B$505),Лист2!$E$2:$E$505)</f>
        <v>1829</v>
      </c>
      <c r="H28">
        <f t="shared" si="0"/>
        <v>146237.32500000001</v>
      </c>
      <c r="I28">
        <f t="shared" si="1"/>
        <v>21</v>
      </c>
      <c r="J28">
        <f t="shared" si="2"/>
        <v>20.857142857142858</v>
      </c>
      <c r="K28">
        <f t="shared" si="3"/>
        <v>140227.57191780821</v>
      </c>
      <c r="L28">
        <f t="shared" si="4"/>
        <v>20.285714285714285</v>
      </c>
      <c r="M28">
        <f t="shared" si="5"/>
        <v>144177.6443661972</v>
      </c>
      <c r="O28" s="15"/>
      <c r="P28" s="15"/>
    </row>
    <row r="29" spans="1:16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 cm="1">
        <f t="array" ref="E29">_xlfn.XLOOKUP(1, (Лист1!$A29=Лист2!$A$2:$A$505)*(Лист1!$B29=Лист2!$B$2:$B$505),Лист2!$C$2:$C$505)</f>
        <v>21</v>
      </c>
      <c r="F29" s="7" cm="1">
        <f t="array" ref="F29">_xlfn.XLOOKUP(1, (Лист1!$A29=Лист2!$A$2:$A$505)*(Лист1!$B29=Лист2!$B$2:$B$505),Лист2!$D$2:$D$505)</f>
        <v>2271</v>
      </c>
      <c r="G29" s="7" cm="1">
        <f t="array" ref="G29">_xlfn.XLOOKUP(1, (Лист1!$A29=Лист2!$A$2:$A$505)*(Лист1!$B29=Лист2!$B$2:$B$505),Лист2!$E$2:$E$505)</f>
        <v>2085</v>
      </c>
      <c r="H29">
        <f t="shared" si="0"/>
        <v>165423.57142857142</v>
      </c>
      <c r="I29">
        <f t="shared" si="1"/>
        <v>22</v>
      </c>
      <c r="J29">
        <f t="shared" si="2"/>
        <v>20.142857142857142</v>
      </c>
      <c r="K29">
        <f t="shared" si="3"/>
        <v>172462.87234042553</v>
      </c>
      <c r="L29">
        <f t="shared" si="4"/>
        <v>20.285714285714285</v>
      </c>
      <c r="M29">
        <f t="shared" si="5"/>
        <v>171248.34507042254</v>
      </c>
      <c r="O29" s="15"/>
      <c r="P29" s="15"/>
    </row>
    <row r="30" spans="1:16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 cm="1">
        <f t="array" ref="E30">_xlfn.XLOOKUP(1, (Лист1!$A30=Лист2!$A$2:$A$505)*(Лист1!$B30=Лист2!$B$2:$B$505),Лист2!$C$2:$C$505)</f>
        <v>20</v>
      </c>
      <c r="F30" s="7" cm="1">
        <f t="array" ref="F30">_xlfn.XLOOKUP(1, (Лист1!$A30=Лист2!$A$2:$A$505)*(Лист1!$B30=Лист2!$B$2:$B$505),Лист2!$D$2:$D$505)</f>
        <v>2597</v>
      </c>
      <c r="G30" s="7" cm="1">
        <f t="array" ref="G30">_xlfn.XLOOKUP(1, (Лист1!$A30=Лист2!$A$2:$A$505)*(Лист1!$B30=Лист2!$B$2:$B$505),Лист2!$E$2:$E$505)</f>
        <v>2376</v>
      </c>
      <c r="H30">
        <f t="shared" si="0"/>
        <v>196089.22500000001</v>
      </c>
      <c r="I30">
        <f t="shared" si="1"/>
        <v>22</v>
      </c>
      <c r="J30">
        <f t="shared" si="2"/>
        <v>20.142857142857142</v>
      </c>
      <c r="K30">
        <f t="shared" si="3"/>
        <v>194698.52127659574</v>
      </c>
      <c r="L30">
        <f t="shared" si="4"/>
        <v>20.285714285714285</v>
      </c>
      <c r="M30">
        <f t="shared" si="5"/>
        <v>193327.40492957746</v>
      </c>
      <c r="O30" s="15"/>
      <c r="P30" s="15"/>
    </row>
    <row r="31" spans="1:16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 cm="1">
        <f t="array" ref="E31">_xlfn.XLOOKUP(1, (Лист1!$A31=Лист2!$A$2:$A$505)*(Лист1!$B31=Лист2!$B$2:$B$505),Лист2!$C$2:$C$505)</f>
        <v>20</v>
      </c>
      <c r="F31" s="7" cm="1">
        <f t="array" ref="F31">_xlfn.XLOOKUP(1, (Лист1!$A31=Лист2!$A$2:$A$505)*(Лист1!$B31=Лист2!$B$2:$B$505),Лист2!$D$2:$D$505)</f>
        <v>1886</v>
      </c>
      <c r="G31" s="7" cm="1">
        <f t="array" ref="G31">_xlfn.XLOOKUP(1, (Лист1!$A31=Лист2!$A$2:$A$505)*(Лист1!$B31=Лист2!$B$2:$B$505),Лист2!$E$2:$E$505)</f>
        <v>1736</v>
      </c>
      <c r="H31">
        <f t="shared" si="0"/>
        <v>141388.65</v>
      </c>
      <c r="I31">
        <f t="shared" si="1"/>
        <v>22</v>
      </c>
      <c r="J31">
        <f t="shared" si="2"/>
        <v>20.142857142857142</v>
      </c>
      <c r="K31">
        <f t="shared" si="3"/>
        <v>140385.89361702127</v>
      </c>
      <c r="L31">
        <f t="shared" si="4"/>
        <v>20.285714285714285</v>
      </c>
      <c r="M31">
        <f t="shared" si="5"/>
        <v>139397.26056338029</v>
      </c>
      <c r="O31" s="15"/>
      <c r="P31" s="15"/>
    </row>
    <row r="32" spans="1:16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 cm="1">
        <f t="array" ref="E32">_xlfn.XLOOKUP(1, (Лист1!$A32=Лист2!$A$2:$A$505)*(Лист1!$B32=Лист2!$B$2:$B$505),Лист2!$C$2:$C$505)</f>
        <v>31</v>
      </c>
      <c r="F32" s="7" cm="1">
        <f t="array" ref="F32">_xlfn.XLOOKUP(1, (Лист1!$A32=Лист2!$A$2:$A$505)*(Лист1!$B32=Лист2!$B$2:$B$505),Лист2!$D$2:$D$505)</f>
        <v>5593</v>
      </c>
      <c r="G32" s="7" cm="1">
        <f t="array" ref="G32">_xlfn.XLOOKUP(1, (Лист1!$A32=Лист2!$A$2:$A$505)*(Лист1!$B32=Лист2!$B$2:$B$505),Лист2!$E$2:$E$505)</f>
        <v>5177</v>
      </c>
      <c r="H32">
        <f t="shared" si="0"/>
        <v>244637.37096774194</v>
      </c>
      <c r="I32">
        <f t="shared" si="1"/>
        <v>20</v>
      </c>
      <c r="J32">
        <f t="shared" si="2"/>
        <v>31</v>
      </c>
      <c r="K32">
        <f t="shared" si="3"/>
        <v>244637.37096774194</v>
      </c>
      <c r="L32">
        <f t="shared" si="4"/>
        <v>31</v>
      </c>
      <c r="M32">
        <f t="shared" si="5"/>
        <v>244637.37096774194</v>
      </c>
      <c r="O32" s="15"/>
      <c r="P32" s="15"/>
    </row>
    <row r="33" spans="1:16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 cm="1">
        <f t="array" ref="E33">_xlfn.XLOOKUP(1, (Лист1!$A33=Лист2!$A$2:$A$505)*(Лист1!$B33=Лист2!$B$2:$B$505),Лист2!$C$2:$C$505)</f>
        <v>31</v>
      </c>
      <c r="F33" s="7" cm="1">
        <f t="array" ref="F33">_xlfn.XLOOKUP(1, (Лист1!$A33=Лист2!$A$2:$A$505)*(Лист1!$B33=Лист2!$B$2:$B$505),Лист2!$D$2:$D$505)</f>
        <v>5389</v>
      </c>
      <c r="G33" s="7" cm="1">
        <f t="array" ref="G33">_xlfn.XLOOKUP(1, (Лист1!$A33=Лист2!$A$2:$A$505)*(Лист1!$B33=Лист2!$B$2:$B$505),Лист2!$E$2:$E$505)</f>
        <v>5024</v>
      </c>
      <c r="H33">
        <f t="shared" si="0"/>
        <v>219855.19354838709</v>
      </c>
      <c r="I33">
        <f t="shared" si="1"/>
        <v>21</v>
      </c>
      <c r="J33">
        <f t="shared" si="2"/>
        <v>31</v>
      </c>
      <c r="K33">
        <f t="shared" si="3"/>
        <v>219855.19354838709</v>
      </c>
      <c r="L33">
        <f t="shared" si="4"/>
        <v>31</v>
      </c>
      <c r="M33">
        <f t="shared" si="5"/>
        <v>219855.19354838709</v>
      </c>
      <c r="O33" s="15"/>
      <c r="P33" s="15"/>
    </row>
    <row r="34" spans="1:16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 cm="1">
        <f t="array" ref="E34">_xlfn.XLOOKUP(1, (Лист1!$A34=Лист2!$A$2:$A$505)*(Лист1!$B34=Лист2!$B$2:$B$505),Лист2!$C$2:$C$505)</f>
        <v>31</v>
      </c>
      <c r="F34" s="7" cm="1">
        <f t="array" ref="F34">_xlfn.XLOOKUP(1, (Лист1!$A34=Лист2!$A$2:$A$505)*(Лист1!$B34=Лист2!$B$2:$B$505),Лист2!$D$2:$D$505)</f>
        <v>5206</v>
      </c>
      <c r="G34" s="7" cm="1">
        <f t="array" ref="G34">_xlfn.XLOOKUP(1, (Лист1!$A34=Лист2!$A$2:$A$505)*(Лист1!$B34=Лист2!$B$2:$B$505),Лист2!$E$2:$E$505)</f>
        <v>4843</v>
      </c>
      <c r="H34">
        <f t="shared" si="0"/>
        <v>218546.66129032258</v>
      </c>
      <c r="I34">
        <f t="shared" si="1"/>
        <v>20</v>
      </c>
      <c r="J34">
        <f t="shared" si="2"/>
        <v>31</v>
      </c>
      <c r="K34">
        <f t="shared" si="3"/>
        <v>218546.66129032258</v>
      </c>
      <c r="L34">
        <f t="shared" si="4"/>
        <v>31</v>
      </c>
      <c r="M34">
        <f t="shared" si="5"/>
        <v>218546.66129032258</v>
      </c>
      <c r="O34" s="15"/>
      <c r="P34" s="15"/>
    </row>
    <row r="35" spans="1:16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 cm="1">
        <f t="array" ref="E35">_xlfn.XLOOKUP(1, (Лист1!$A35=Лист2!$A$2:$A$505)*(Лист1!$B35=Лист2!$B$2:$B$505),Лист2!$C$2:$C$505)</f>
        <v>31</v>
      </c>
      <c r="F35" s="7" cm="1">
        <f t="array" ref="F35">_xlfn.XLOOKUP(1, (Лист1!$A35=Лист2!$A$2:$A$505)*(Лист1!$B35=Лист2!$B$2:$B$505),Лист2!$D$2:$D$505)</f>
        <v>4556</v>
      </c>
      <c r="G35" s="7" cm="1">
        <f t="array" ref="G35">_xlfn.XLOOKUP(1, (Лист1!$A35=Лист2!$A$2:$A$505)*(Лист1!$B35=Лист2!$B$2:$B$505),Лист2!$E$2:$E$505)</f>
        <v>4220</v>
      </c>
      <c r="H35">
        <f t="shared" si="0"/>
        <v>202094.61290322582</v>
      </c>
      <c r="I35">
        <f t="shared" si="1"/>
        <v>19</v>
      </c>
      <c r="J35">
        <f t="shared" si="2"/>
        <v>31</v>
      </c>
      <c r="K35">
        <f t="shared" si="3"/>
        <v>202094.61290322582</v>
      </c>
      <c r="L35">
        <f t="shared" si="4"/>
        <v>31</v>
      </c>
      <c r="M35">
        <f t="shared" si="5"/>
        <v>202094.61290322582</v>
      </c>
      <c r="O35" s="15"/>
      <c r="P35" s="15"/>
    </row>
    <row r="36" spans="1:16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 cm="1">
        <f t="array" ref="E36">_xlfn.XLOOKUP(1, (Лист1!$A36=Лист2!$A$2:$A$505)*(Лист1!$B36=Лист2!$B$2:$B$505),Лист2!$C$2:$C$505)</f>
        <v>31</v>
      </c>
      <c r="F36" s="7" cm="1">
        <f t="array" ref="F36">_xlfn.XLOOKUP(1, (Лист1!$A36=Лист2!$A$2:$A$505)*(Лист1!$B36=Лист2!$B$2:$B$505),Лист2!$D$2:$D$505)</f>
        <v>4968</v>
      </c>
      <c r="G36" s="7" cm="1">
        <f t="array" ref="G36">_xlfn.XLOOKUP(1, (Лист1!$A36=Лист2!$A$2:$A$505)*(Лист1!$B36=Лист2!$B$2:$B$505),Лист2!$E$2:$E$505)</f>
        <v>4596</v>
      </c>
      <c r="H36">
        <f t="shared" si="0"/>
        <v>214266.09677419355</v>
      </c>
      <c r="I36">
        <f t="shared" si="1"/>
        <v>19</v>
      </c>
      <c r="J36">
        <f t="shared" si="2"/>
        <v>31</v>
      </c>
      <c r="K36">
        <f t="shared" si="3"/>
        <v>214266.09677419355</v>
      </c>
      <c r="L36">
        <f t="shared" si="4"/>
        <v>31</v>
      </c>
      <c r="M36">
        <f t="shared" si="5"/>
        <v>214266.09677419355</v>
      </c>
      <c r="O36" s="15"/>
      <c r="P36" s="15"/>
    </row>
    <row r="37" spans="1:16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 cm="1">
        <f t="array" ref="E37">_xlfn.XLOOKUP(1, (Лист1!$A37=Лист2!$A$2:$A$505)*(Лист1!$B37=Лист2!$B$2:$B$505),Лист2!$C$2:$C$505)</f>
        <v>31</v>
      </c>
      <c r="F37" s="7" cm="1">
        <f t="array" ref="F37">_xlfn.XLOOKUP(1, (Лист1!$A37=Лист2!$A$2:$A$505)*(Лист1!$B37=Лист2!$B$2:$B$505),Лист2!$D$2:$D$505)</f>
        <v>5378</v>
      </c>
      <c r="G37" s="7" cm="1">
        <f t="array" ref="G37">_xlfn.XLOOKUP(1, (Лист1!$A37=Лист2!$A$2:$A$505)*(Лист1!$B37=Лист2!$B$2:$B$505),Лист2!$E$2:$E$505)</f>
        <v>4985</v>
      </c>
      <c r="H37">
        <f t="shared" si="0"/>
        <v>231628.98387096773</v>
      </c>
      <c r="I37">
        <f t="shared" si="1"/>
        <v>18</v>
      </c>
      <c r="J37">
        <f t="shared" si="2"/>
        <v>31</v>
      </c>
      <c r="K37">
        <f t="shared" si="3"/>
        <v>231628.98387096773</v>
      </c>
      <c r="L37">
        <f t="shared" si="4"/>
        <v>31</v>
      </c>
      <c r="M37">
        <f t="shared" si="5"/>
        <v>231628.98387096773</v>
      </c>
      <c r="O37" s="15"/>
      <c r="P37" s="15"/>
    </row>
    <row r="38" spans="1:16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 cm="1">
        <f t="array" ref="E38">_xlfn.XLOOKUP(1, (Лист1!$A38=Лист2!$A$2:$A$505)*(Лист1!$B38=Лист2!$B$2:$B$505),Лист2!$C$2:$C$505)</f>
        <v>31</v>
      </c>
      <c r="F38" s="7" cm="1">
        <f t="array" ref="F38">_xlfn.XLOOKUP(1, (Лист1!$A38=Лист2!$A$2:$A$505)*(Лист1!$B38=Лист2!$B$2:$B$505),Лист2!$D$2:$D$505)</f>
        <v>4157</v>
      </c>
      <c r="G38" s="7" cm="1">
        <f t="array" ref="G38">_xlfn.XLOOKUP(1, (Лист1!$A38=Лист2!$A$2:$A$505)*(Лист1!$B38=Лист2!$B$2:$B$505),Лист2!$E$2:$E$505)</f>
        <v>3823</v>
      </c>
      <c r="H38">
        <f t="shared" si="0"/>
        <v>179167.5</v>
      </c>
      <c r="I38">
        <f t="shared" si="1"/>
        <v>18</v>
      </c>
      <c r="J38">
        <f t="shared" si="2"/>
        <v>31</v>
      </c>
      <c r="K38">
        <f t="shared" si="3"/>
        <v>179167.5</v>
      </c>
      <c r="L38">
        <f t="shared" si="4"/>
        <v>31</v>
      </c>
      <c r="M38">
        <f t="shared" si="5"/>
        <v>179167.5</v>
      </c>
      <c r="O38" s="15"/>
      <c r="P38" s="15"/>
    </row>
    <row r="39" spans="1:16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 cm="1">
        <f t="array" ref="E39">_xlfn.XLOOKUP(1, (Лист1!$A39=Лист2!$A$2:$A$505)*(Лист1!$B39=Лист2!$B$2:$B$505),Лист2!$C$2:$C$505)</f>
        <v>31</v>
      </c>
      <c r="F39" s="7" cm="1">
        <f t="array" ref="F39">_xlfn.XLOOKUP(1, (Лист1!$A39=Лист2!$A$2:$A$505)*(Лист1!$B39=Лист2!$B$2:$B$505),Лист2!$D$2:$D$505)</f>
        <v>5493</v>
      </c>
      <c r="G39" s="7" cm="1">
        <f t="array" ref="G39">_xlfn.XLOOKUP(1, (Лист1!$A39=Лист2!$A$2:$A$505)*(Лист1!$B39=Лист2!$B$2:$B$505),Лист2!$E$2:$E$505)</f>
        <v>5119</v>
      </c>
      <c r="H39">
        <f t="shared" si="0"/>
        <v>215369.66129032258</v>
      </c>
      <c r="I39">
        <f t="shared" si="1"/>
        <v>22</v>
      </c>
      <c r="J39">
        <f t="shared" si="2"/>
        <v>31</v>
      </c>
      <c r="K39">
        <f t="shared" si="3"/>
        <v>215369.66129032258</v>
      </c>
      <c r="L39">
        <f t="shared" si="4"/>
        <v>31</v>
      </c>
      <c r="M39">
        <f t="shared" si="5"/>
        <v>215369.66129032258</v>
      </c>
      <c r="O39" s="15"/>
      <c r="P39" s="15"/>
    </row>
    <row r="40" spans="1:16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 cm="1">
        <f t="array" ref="E40">_xlfn.XLOOKUP(1, (Лист1!$A40=Лист2!$A$2:$A$505)*(Лист1!$B40=Лист2!$B$2:$B$505),Лист2!$C$2:$C$505)</f>
        <v>31</v>
      </c>
      <c r="F40" s="7" cm="1">
        <f t="array" ref="F40">_xlfn.XLOOKUP(1, (Лист1!$A40=Лист2!$A$2:$A$505)*(Лист1!$B40=Лист2!$B$2:$B$505),Лист2!$D$2:$D$505)</f>
        <v>6118</v>
      </c>
      <c r="G40" s="7" cm="1">
        <f t="array" ref="G40">_xlfn.XLOOKUP(1, (Лист1!$A40=Лист2!$A$2:$A$505)*(Лист1!$B40=Лист2!$B$2:$B$505),Лист2!$E$2:$E$505)</f>
        <v>5564</v>
      </c>
      <c r="H40">
        <f t="shared" si="0"/>
        <v>286871.75806451612</v>
      </c>
      <c r="I40">
        <f t="shared" si="1"/>
        <v>18</v>
      </c>
      <c r="J40">
        <f t="shared" si="2"/>
        <v>31</v>
      </c>
      <c r="K40">
        <f t="shared" si="3"/>
        <v>286871.75806451612</v>
      </c>
      <c r="L40">
        <f t="shared" si="4"/>
        <v>31</v>
      </c>
      <c r="M40">
        <f t="shared" si="5"/>
        <v>286871.75806451612</v>
      </c>
      <c r="O40" s="15"/>
      <c r="P40" s="15"/>
    </row>
    <row r="41" spans="1:16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 cm="1">
        <f t="array" ref="E41">_xlfn.XLOOKUP(1, (Лист1!$A41=Лист2!$A$2:$A$505)*(Лист1!$B41=Лист2!$B$2:$B$505),Лист2!$C$2:$C$505)</f>
        <v>31</v>
      </c>
      <c r="F41" s="7" cm="1">
        <f t="array" ref="F41">_xlfn.XLOOKUP(1, (Лист1!$A41=Лист2!$A$2:$A$505)*(Лист1!$B41=Лист2!$B$2:$B$505),Лист2!$D$2:$D$505)</f>
        <v>4800</v>
      </c>
      <c r="G41" s="7" cm="1">
        <f t="array" ref="G41">_xlfn.XLOOKUP(1, (Лист1!$A41=Лист2!$A$2:$A$505)*(Лист1!$B41=Лист2!$B$2:$B$505),Лист2!$E$2:$E$505)</f>
        <v>4470</v>
      </c>
      <c r="H41">
        <f t="shared" si="0"/>
        <v>206398.74193548388</v>
      </c>
      <c r="I41">
        <f t="shared" si="1"/>
        <v>20</v>
      </c>
      <c r="J41">
        <f t="shared" si="2"/>
        <v>31</v>
      </c>
      <c r="K41">
        <f t="shared" si="3"/>
        <v>206398.74193548388</v>
      </c>
      <c r="L41">
        <f t="shared" si="4"/>
        <v>31</v>
      </c>
      <c r="M41">
        <f t="shared" si="5"/>
        <v>206398.74193548388</v>
      </c>
      <c r="O41" s="15"/>
      <c r="P41" s="15"/>
    </row>
    <row r="42" spans="1:16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 cm="1">
        <f t="array" ref="E42">_xlfn.XLOOKUP(1, (Лист1!$A42=Лист2!$A$2:$A$505)*(Лист1!$B42=Лист2!$B$2:$B$505),Лист2!$C$2:$C$505)</f>
        <v>31</v>
      </c>
      <c r="F42" s="7" cm="1">
        <f t="array" ref="F42">_xlfn.XLOOKUP(1, (Лист1!$A42=Лист2!$A$2:$A$505)*(Лист1!$B42=Лист2!$B$2:$B$505),Лист2!$D$2:$D$505)</f>
        <v>5207</v>
      </c>
      <c r="G42" s="7" cm="1">
        <f t="array" ref="G42">_xlfn.XLOOKUP(1, (Лист1!$A42=Лист2!$A$2:$A$505)*(Лист1!$B42=Лист2!$B$2:$B$505),Лист2!$E$2:$E$505)</f>
        <v>4868</v>
      </c>
      <c r="H42">
        <f t="shared" si="0"/>
        <v>213995.0806451613</v>
      </c>
      <c r="I42">
        <f t="shared" si="1"/>
        <v>21</v>
      </c>
      <c r="J42">
        <f t="shared" si="2"/>
        <v>31</v>
      </c>
      <c r="K42">
        <f t="shared" si="3"/>
        <v>213995.0806451613</v>
      </c>
      <c r="L42">
        <f t="shared" si="4"/>
        <v>31</v>
      </c>
      <c r="M42">
        <f t="shared" si="5"/>
        <v>213995.0806451613</v>
      </c>
      <c r="O42" s="15"/>
      <c r="P42" s="15"/>
    </row>
    <row r="43" spans="1:16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 cm="1">
        <f t="array" ref="E43">_xlfn.XLOOKUP(1, (Лист1!$A43=Лист2!$A$2:$A$505)*(Лист1!$B43=Лист2!$B$2:$B$505),Лист2!$C$2:$C$505)</f>
        <v>31</v>
      </c>
      <c r="F43" s="7" cm="1">
        <f t="array" ref="F43">_xlfn.XLOOKUP(1, (Лист1!$A43=Лист2!$A$2:$A$505)*(Лист1!$B43=Лист2!$B$2:$B$505),Лист2!$D$2:$D$505)</f>
        <v>5698</v>
      </c>
      <c r="G43" s="7" cm="1">
        <f t="array" ref="G43">_xlfn.XLOOKUP(1, (Лист1!$A43=Лист2!$A$2:$A$505)*(Лист1!$B43=Лист2!$B$2:$B$505),Лист2!$E$2:$E$505)</f>
        <v>5258</v>
      </c>
      <c r="H43">
        <f t="shared" si="0"/>
        <v>233792.75806451612</v>
      </c>
      <c r="I43">
        <f t="shared" si="1"/>
        <v>21</v>
      </c>
      <c r="J43">
        <f t="shared" si="2"/>
        <v>31</v>
      </c>
      <c r="K43">
        <f t="shared" si="3"/>
        <v>233792.75806451612</v>
      </c>
      <c r="L43">
        <f t="shared" si="4"/>
        <v>31</v>
      </c>
      <c r="M43">
        <f t="shared" si="5"/>
        <v>233792.75806451612</v>
      </c>
      <c r="O43" s="15"/>
      <c r="P43" s="15"/>
    </row>
    <row r="44" spans="1:16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 cm="1">
        <f t="array" ref="E44">_xlfn.XLOOKUP(1, (Лист1!$A44=Лист2!$A$2:$A$505)*(Лист1!$B44=Лист2!$B$2:$B$505),Лист2!$C$2:$C$505)</f>
        <v>31</v>
      </c>
      <c r="F44" s="7" cm="1">
        <f t="array" ref="F44">_xlfn.XLOOKUP(1, (Лист1!$A44=Лист2!$A$2:$A$505)*(Лист1!$B44=Лист2!$B$2:$B$505),Лист2!$D$2:$D$505)</f>
        <v>5188</v>
      </c>
      <c r="G44" s="7" cm="1">
        <f t="array" ref="G44">_xlfn.XLOOKUP(1, (Лист1!$A44=Лист2!$A$2:$A$505)*(Лист1!$B44=Лист2!$B$2:$B$505),Лист2!$E$2:$E$505)</f>
        <v>4800</v>
      </c>
      <c r="H44">
        <f t="shared" si="0"/>
        <v>223268.27419354839</v>
      </c>
      <c r="I44">
        <f t="shared" si="1"/>
        <v>19</v>
      </c>
      <c r="J44">
        <f t="shared" si="2"/>
        <v>31</v>
      </c>
      <c r="K44">
        <f t="shared" si="3"/>
        <v>223268.27419354839</v>
      </c>
      <c r="L44">
        <f t="shared" si="4"/>
        <v>31</v>
      </c>
      <c r="M44">
        <f t="shared" si="5"/>
        <v>223268.27419354839</v>
      </c>
      <c r="O44" s="15"/>
      <c r="P44" s="15"/>
    </row>
    <row r="45" spans="1:16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 cm="1">
        <f t="array" ref="E45">_xlfn.XLOOKUP(1, (Лист1!$A45=Лист2!$A$2:$A$505)*(Лист1!$B45=Лист2!$B$2:$B$505),Лист2!$C$2:$C$505)</f>
        <v>31</v>
      </c>
      <c r="F45" s="7" cm="1">
        <f t="array" ref="F45">_xlfn.XLOOKUP(1, (Лист1!$A45=Лист2!$A$2:$A$505)*(Лист1!$B45=Лист2!$B$2:$B$505),Лист2!$D$2:$D$505)</f>
        <v>5465</v>
      </c>
      <c r="G45" s="7" cm="1">
        <f t="array" ref="G45">_xlfn.XLOOKUP(1, (Лист1!$A45=Лист2!$A$2:$A$505)*(Лист1!$B45=Лист2!$B$2:$B$505),Лист2!$E$2:$E$505)</f>
        <v>5096</v>
      </c>
      <c r="H45">
        <f t="shared" si="0"/>
        <v>231085.30645161291</v>
      </c>
      <c r="I45">
        <f t="shared" si="1"/>
        <v>18</v>
      </c>
      <c r="J45">
        <f t="shared" si="2"/>
        <v>31</v>
      </c>
      <c r="K45">
        <f t="shared" si="3"/>
        <v>231085.30645161291</v>
      </c>
      <c r="L45">
        <f t="shared" si="4"/>
        <v>31</v>
      </c>
      <c r="M45">
        <f t="shared" si="5"/>
        <v>231085.30645161291</v>
      </c>
      <c r="O45" s="15"/>
      <c r="P45" s="15"/>
    </row>
    <row r="46" spans="1:16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 cm="1">
        <f t="array" ref="E46">_xlfn.XLOOKUP(1, (Лист1!$A46=Лист2!$A$2:$A$505)*(Лист1!$B46=Лист2!$B$2:$B$505),Лист2!$C$2:$C$505)</f>
        <v>31</v>
      </c>
      <c r="F46" s="7" cm="1">
        <f t="array" ref="F46">_xlfn.XLOOKUP(1, (Лист1!$A46=Лист2!$A$2:$A$505)*(Лист1!$B46=Лист2!$B$2:$B$505),Лист2!$D$2:$D$505)</f>
        <v>5251</v>
      </c>
      <c r="G46" s="7" cm="1">
        <f t="array" ref="G46">_xlfn.XLOOKUP(1, (Лист1!$A46=Лист2!$A$2:$A$505)*(Лист1!$B46=Лист2!$B$2:$B$505),Лист2!$E$2:$E$505)</f>
        <v>4853</v>
      </c>
      <c r="H46">
        <f t="shared" si="0"/>
        <v>225611.37096774194</v>
      </c>
      <c r="I46">
        <f t="shared" si="1"/>
        <v>20</v>
      </c>
      <c r="J46">
        <f t="shared" si="2"/>
        <v>31</v>
      </c>
      <c r="K46">
        <f t="shared" si="3"/>
        <v>225611.37096774194</v>
      </c>
      <c r="L46">
        <f t="shared" si="4"/>
        <v>31</v>
      </c>
      <c r="M46">
        <f t="shared" si="5"/>
        <v>225611.37096774194</v>
      </c>
      <c r="O46" s="15"/>
      <c r="P46" s="15"/>
    </row>
    <row r="47" spans="1:16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 cm="1">
        <f t="array" ref="E47">_xlfn.XLOOKUP(1, (Лист1!$A47=Лист2!$A$2:$A$505)*(Лист1!$B47=Лист2!$B$2:$B$505),Лист2!$C$2:$C$505)</f>
        <v>31</v>
      </c>
      <c r="F47" s="7" cm="1">
        <f t="array" ref="F47">_xlfn.XLOOKUP(1, (Лист1!$A47=Лист2!$A$2:$A$505)*(Лист1!$B47=Лист2!$B$2:$B$505),Лист2!$D$2:$D$505)</f>
        <v>5155</v>
      </c>
      <c r="G47" s="7" cm="1">
        <f t="array" ref="G47">_xlfn.XLOOKUP(1, (Лист1!$A47=Лист2!$A$2:$A$505)*(Лист1!$B47=Лист2!$B$2:$B$505),Лист2!$E$2:$E$505)</f>
        <v>4762</v>
      </c>
      <c r="H47">
        <f t="shared" si="0"/>
        <v>226247.4193548387</v>
      </c>
      <c r="I47">
        <f t="shared" si="1"/>
        <v>18</v>
      </c>
      <c r="J47">
        <f t="shared" si="2"/>
        <v>31</v>
      </c>
      <c r="K47">
        <f t="shared" si="3"/>
        <v>226247.4193548387</v>
      </c>
      <c r="L47">
        <f t="shared" si="4"/>
        <v>31</v>
      </c>
      <c r="M47">
        <f t="shared" si="5"/>
        <v>226247.4193548387</v>
      </c>
      <c r="O47" s="15"/>
      <c r="P47" s="15"/>
    </row>
    <row r="48" spans="1:16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 cm="1">
        <f t="array" ref="E48">_xlfn.XLOOKUP(1, (Лист1!$A48=Лист2!$A$2:$A$505)*(Лист1!$B48=Лист2!$B$2:$B$505),Лист2!$C$2:$C$505)</f>
        <v>31</v>
      </c>
      <c r="F48" s="7" cm="1">
        <f t="array" ref="F48">_xlfn.XLOOKUP(1, (Лист1!$A48=Лист2!$A$2:$A$505)*(Лист1!$B48=Лист2!$B$2:$B$505),Лист2!$D$2:$D$505)</f>
        <v>4709</v>
      </c>
      <c r="G48" s="7" cm="1">
        <f t="array" ref="G48">_xlfn.XLOOKUP(1, (Лист1!$A48=Лист2!$A$2:$A$505)*(Лист1!$B48=Лист2!$B$2:$B$505),Лист2!$E$2:$E$505)</f>
        <v>4348</v>
      </c>
      <c r="H48">
        <f t="shared" si="0"/>
        <v>198988.93548387097</v>
      </c>
      <c r="I48">
        <f t="shared" si="1"/>
        <v>19</v>
      </c>
      <c r="J48">
        <f t="shared" si="2"/>
        <v>31</v>
      </c>
      <c r="K48">
        <f t="shared" si="3"/>
        <v>198988.93548387097</v>
      </c>
      <c r="L48">
        <f t="shared" si="4"/>
        <v>31</v>
      </c>
      <c r="M48">
        <f t="shared" si="5"/>
        <v>198988.93548387097</v>
      </c>
      <c r="O48" s="15"/>
      <c r="P48" s="15"/>
    </row>
    <row r="49" spans="1:16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 cm="1">
        <f t="array" ref="E49">_xlfn.XLOOKUP(1, (Лист1!$A49=Лист2!$A$2:$A$505)*(Лист1!$B49=Лист2!$B$2:$B$505),Лист2!$C$2:$C$505)</f>
        <v>31</v>
      </c>
      <c r="F49" s="7" cm="1">
        <f t="array" ref="F49">_xlfn.XLOOKUP(1, (Лист1!$A49=Лист2!$A$2:$A$505)*(Лист1!$B49=Лист2!$B$2:$B$505),Лист2!$D$2:$D$505)</f>
        <v>6276</v>
      </c>
      <c r="G49" s="7" cm="1">
        <f t="array" ref="G49">_xlfn.XLOOKUP(1, (Лист1!$A49=Лист2!$A$2:$A$505)*(Лист1!$B49=Лист2!$B$2:$B$505),Лист2!$E$2:$E$505)</f>
        <v>5801</v>
      </c>
      <c r="H49">
        <f t="shared" si="0"/>
        <v>260940.09677419355</v>
      </c>
      <c r="I49">
        <f t="shared" si="1"/>
        <v>21</v>
      </c>
      <c r="J49">
        <f t="shared" si="2"/>
        <v>31</v>
      </c>
      <c r="K49">
        <f t="shared" si="3"/>
        <v>260940.09677419355</v>
      </c>
      <c r="L49">
        <f t="shared" si="4"/>
        <v>31</v>
      </c>
      <c r="M49">
        <f t="shared" si="5"/>
        <v>260940.09677419355</v>
      </c>
      <c r="O49" s="15"/>
      <c r="P49" s="15"/>
    </row>
    <row r="50" spans="1:16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 cm="1">
        <f t="array" ref="E50">_xlfn.XLOOKUP(1, (Лист1!$A50=Лист2!$A$2:$A$505)*(Лист1!$B50=Лист2!$B$2:$B$505),Лист2!$C$2:$C$505)</f>
        <v>31</v>
      </c>
      <c r="F50" s="7" cm="1">
        <f t="array" ref="F50">_xlfn.XLOOKUP(1, (Лист1!$A50=Лист2!$A$2:$A$505)*(Лист1!$B50=Лист2!$B$2:$B$505),Лист2!$D$2:$D$505)</f>
        <v>5210</v>
      </c>
      <c r="G50" s="7" cm="1">
        <f t="array" ref="G50">_xlfn.XLOOKUP(1, (Лист1!$A50=Лист2!$A$2:$A$505)*(Лист1!$B50=Лист2!$B$2:$B$505),Лист2!$E$2:$E$505)</f>
        <v>4841</v>
      </c>
      <c r="H50">
        <f t="shared" si="0"/>
        <v>214374.29032258064</v>
      </c>
      <c r="I50">
        <f t="shared" si="1"/>
        <v>22</v>
      </c>
      <c r="J50">
        <f t="shared" si="2"/>
        <v>31</v>
      </c>
      <c r="K50">
        <f t="shared" si="3"/>
        <v>214374.29032258064</v>
      </c>
      <c r="L50">
        <f t="shared" si="4"/>
        <v>31</v>
      </c>
      <c r="M50">
        <f t="shared" si="5"/>
        <v>214374.29032258064</v>
      </c>
      <c r="O50" s="15"/>
      <c r="P50" s="15"/>
    </row>
    <row r="51" spans="1:16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 cm="1">
        <f t="array" ref="E51">_xlfn.XLOOKUP(1, (Лист1!$A51=Лист2!$A$2:$A$505)*(Лист1!$B51=Лист2!$B$2:$B$505),Лист2!$C$2:$C$505)</f>
        <v>31</v>
      </c>
      <c r="F51" s="7" cm="1">
        <f t="array" ref="F51">_xlfn.XLOOKUP(1, (Лист1!$A51=Лист2!$A$2:$A$505)*(Лист1!$B51=Лист2!$B$2:$B$505),Лист2!$D$2:$D$505)</f>
        <v>5120</v>
      </c>
      <c r="G51" s="7" cm="1">
        <f t="array" ref="G51">_xlfn.XLOOKUP(1, (Лист1!$A51=Лист2!$A$2:$A$505)*(Лист1!$B51=Лист2!$B$2:$B$505),Лист2!$E$2:$E$505)</f>
        <v>4737</v>
      </c>
      <c r="H51">
        <f t="shared" si="0"/>
        <v>226571.85483870967</v>
      </c>
      <c r="I51">
        <f t="shared" si="1"/>
        <v>18</v>
      </c>
      <c r="J51">
        <f t="shared" si="2"/>
        <v>31</v>
      </c>
      <c r="K51">
        <f t="shared" si="3"/>
        <v>226571.85483870967</v>
      </c>
      <c r="L51">
        <f t="shared" si="4"/>
        <v>31</v>
      </c>
      <c r="M51">
        <f t="shared" si="5"/>
        <v>226571.85483870967</v>
      </c>
      <c r="O51" s="15"/>
      <c r="P51" s="15"/>
    </row>
    <row r="52" spans="1:16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 cm="1">
        <f t="array" ref="E52">_xlfn.XLOOKUP(1, (Лист1!$A52=Лист2!$A$2:$A$505)*(Лист1!$B52=Лист2!$B$2:$B$505),Лист2!$C$2:$C$505)</f>
        <v>31</v>
      </c>
      <c r="F52" s="7" cm="1">
        <f t="array" ref="F52">_xlfn.XLOOKUP(1, (Лист1!$A52=Лист2!$A$2:$A$505)*(Лист1!$B52=Лист2!$B$2:$B$505),Лист2!$D$2:$D$505)</f>
        <v>5495</v>
      </c>
      <c r="G52" s="7" cm="1">
        <f t="array" ref="G52">_xlfn.XLOOKUP(1, (Лист1!$A52=Лист2!$A$2:$A$505)*(Лист1!$B52=Лист2!$B$2:$B$505),Лист2!$E$2:$E$505)</f>
        <v>5093</v>
      </c>
      <c r="H52">
        <f t="shared" si="0"/>
        <v>241393.35483870967</v>
      </c>
      <c r="I52">
        <f t="shared" si="1"/>
        <v>19</v>
      </c>
      <c r="J52">
        <f t="shared" si="2"/>
        <v>31</v>
      </c>
      <c r="K52">
        <f t="shared" si="3"/>
        <v>241393.35483870967</v>
      </c>
      <c r="L52">
        <f t="shared" si="4"/>
        <v>31</v>
      </c>
      <c r="M52">
        <f t="shared" si="5"/>
        <v>241393.35483870967</v>
      </c>
      <c r="O52" s="15"/>
      <c r="P52" s="15"/>
    </row>
    <row r="53" spans="1:16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 cm="1">
        <f t="array" ref="E53">_xlfn.XLOOKUP(1, (Лист1!$A53=Лист2!$A$2:$A$505)*(Лист1!$B53=Лист2!$B$2:$B$505),Лист2!$C$2:$C$505)</f>
        <v>31</v>
      </c>
      <c r="F53" s="7" cm="1">
        <f t="array" ref="F53">_xlfn.XLOOKUP(1, (Лист1!$A53=Лист2!$A$2:$A$505)*(Лист1!$B53=Лист2!$B$2:$B$505),Лист2!$D$2:$D$505)</f>
        <v>4635</v>
      </c>
      <c r="G53" s="7" cm="1">
        <f t="array" ref="G53">_xlfn.XLOOKUP(1, (Лист1!$A53=Лист2!$A$2:$A$505)*(Лист1!$B53=Лист2!$B$2:$B$505),Лист2!$E$2:$E$505)</f>
        <v>4266</v>
      </c>
      <c r="H53">
        <f t="shared" si="0"/>
        <v>203025.04838709679</v>
      </c>
      <c r="I53">
        <f t="shared" si="1"/>
        <v>19</v>
      </c>
      <c r="J53">
        <f t="shared" si="2"/>
        <v>31</v>
      </c>
      <c r="K53">
        <f t="shared" si="3"/>
        <v>203025.04838709679</v>
      </c>
      <c r="L53">
        <f t="shared" si="4"/>
        <v>31</v>
      </c>
      <c r="M53">
        <f t="shared" si="5"/>
        <v>203025.04838709679</v>
      </c>
      <c r="O53" s="15"/>
      <c r="P53" s="15"/>
    </row>
    <row r="54" spans="1:16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 cm="1">
        <f t="array" ref="E54">_xlfn.XLOOKUP(1, (Лист1!$A54=Лист2!$A$2:$A$505)*(Лист1!$B54=Лист2!$B$2:$B$505),Лист2!$C$2:$C$505)</f>
        <v>31</v>
      </c>
      <c r="F54" s="7" cm="1">
        <f t="array" ref="F54">_xlfn.XLOOKUP(1, (Лист1!$A54=Лист2!$A$2:$A$505)*(Лист1!$B54=Лист2!$B$2:$B$505),Лист2!$D$2:$D$505)</f>
        <v>4903</v>
      </c>
      <c r="G54" s="7" cm="1">
        <f t="array" ref="G54">_xlfn.XLOOKUP(1, (Лист1!$A54=Лист2!$A$2:$A$505)*(Лист1!$B54=Лист2!$B$2:$B$505),Лист2!$E$2:$E$505)</f>
        <v>4527</v>
      </c>
      <c r="H54">
        <f t="shared" si="0"/>
        <v>212641.40322580645</v>
      </c>
      <c r="I54">
        <f t="shared" si="1"/>
        <v>19</v>
      </c>
      <c r="J54">
        <f t="shared" si="2"/>
        <v>31</v>
      </c>
      <c r="K54">
        <f t="shared" si="3"/>
        <v>212641.40322580645</v>
      </c>
      <c r="L54">
        <f t="shared" si="4"/>
        <v>31</v>
      </c>
      <c r="M54">
        <f t="shared" si="5"/>
        <v>212641.40322580645</v>
      </c>
      <c r="O54" s="15"/>
      <c r="P54" s="15"/>
    </row>
    <row r="55" spans="1:16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 cm="1">
        <f t="array" ref="E55">_xlfn.XLOOKUP(1, (Лист1!$A55=Лист2!$A$2:$A$505)*(Лист1!$B55=Лист2!$B$2:$B$505),Лист2!$C$2:$C$505)</f>
        <v>31</v>
      </c>
      <c r="F55" s="7" cm="1">
        <f t="array" ref="F55">_xlfn.XLOOKUP(1, (Лист1!$A55=Лист2!$A$2:$A$505)*(Лист1!$B55=Лист2!$B$2:$B$505),Лист2!$D$2:$D$505)</f>
        <v>5035</v>
      </c>
      <c r="G55" s="7" cm="1">
        <f t="array" ref="G55">_xlfn.XLOOKUP(1, (Лист1!$A55=Лист2!$A$2:$A$505)*(Лист1!$B55=Лист2!$B$2:$B$505),Лист2!$E$2:$E$505)</f>
        <v>4683</v>
      </c>
      <c r="H55">
        <f t="shared" si="0"/>
        <v>208097.80645161291</v>
      </c>
      <c r="I55">
        <f t="shared" si="1"/>
        <v>21</v>
      </c>
      <c r="J55">
        <f t="shared" si="2"/>
        <v>31</v>
      </c>
      <c r="K55">
        <f t="shared" si="3"/>
        <v>208097.80645161291</v>
      </c>
      <c r="L55">
        <f t="shared" si="4"/>
        <v>31</v>
      </c>
      <c r="M55">
        <f t="shared" si="5"/>
        <v>208097.80645161291</v>
      </c>
      <c r="O55" s="15"/>
      <c r="P55" s="15"/>
    </row>
    <row r="56" spans="1:16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 cm="1">
        <f t="array" ref="E56">_xlfn.XLOOKUP(1, (Лист1!$A56=Лист2!$A$2:$A$505)*(Лист1!$B56=Лист2!$B$2:$B$505),Лист2!$C$2:$C$505)</f>
        <v>10</v>
      </c>
      <c r="F56" s="7" cm="1">
        <f t="array" ref="F56">_xlfn.XLOOKUP(1, (Лист1!$A56=Лист2!$A$2:$A$505)*(Лист1!$B56=Лист2!$B$2:$B$505),Лист2!$D$2:$D$505)</f>
        <v>760</v>
      </c>
      <c r="G56" s="7" cm="1">
        <f t="array" ref="G56">_xlfn.XLOOKUP(1, (Лист1!$A56=Лист2!$A$2:$A$505)*(Лист1!$B56=Лист2!$B$2:$B$505),Лист2!$E$2:$E$505)</f>
        <v>672</v>
      </c>
      <c r="H56">
        <f t="shared" si="0"/>
        <v>113050.65</v>
      </c>
      <c r="I56">
        <f t="shared" si="1"/>
        <v>20</v>
      </c>
      <c r="J56">
        <f t="shared" si="2"/>
        <v>10</v>
      </c>
      <c r="K56">
        <f t="shared" si="3"/>
        <v>113050.65</v>
      </c>
      <c r="L56">
        <f t="shared" si="4"/>
        <v>10</v>
      </c>
      <c r="M56">
        <f t="shared" si="5"/>
        <v>113050.65</v>
      </c>
      <c r="O56" s="15"/>
      <c r="P56" s="15"/>
    </row>
    <row r="57" spans="1:16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 cm="1">
        <f t="array" ref="E57">_xlfn.XLOOKUP(1, (Лист1!$A57=Лист2!$A$2:$A$505)*(Лист1!$B57=Лист2!$B$2:$B$505),Лист2!$C$2:$C$505)</f>
        <v>10</v>
      </c>
      <c r="F57" s="7" cm="1">
        <f t="array" ref="F57">_xlfn.XLOOKUP(1, (Лист1!$A57=Лист2!$A$2:$A$505)*(Лист1!$B57=Лист2!$B$2:$B$505),Лист2!$D$2:$D$505)</f>
        <v>649</v>
      </c>
      <c r="G57" s="7" cm="1">
        <f t="array" ref="G57">_xlfn.XLOOKUP(1, (Лист1!$A57=Лист2!$A$2:$A$505)*(Лист1!$B57=Лист2!$B$2:$B$505),Лист2!$E$2:$E$505)</f>
        <v>568</v>
      </c>
      <c r="H57">
        <f t="shared" si="0"/>
        <v>93876.45</v>
      </c>
      <c r="I57">
        <f t="shared" si="1"/>
        <v>21</v>
      </c>
      <c r="J57">
        <f t="shared" si="2"/>
        <v>10</v>
      </c>
      <c r="K57">
        <f t="shared" si="3"/>
        <v>93876.45</v>
      </c>
      <c r="L57">
        <f t="shared" si="4"/>
        <v>10</v>
      </c>
      <c r="M57">
        <f t="shared" si="5"/>
        <v>93876.45</v>
      </c>
      <c r="O57" s="15"/>
      <c r="P57" s="15"/>
    </row>
    <row r="58" spans="1:16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 cm="1">
        <f t="array" ref="E58">_xlfn.XLOOKUP(1, (Лист1!$A58=Лист2!$A$2:$A$505)*(Лист1!$B58=Лист2!$B$2:$B$505),Лист2!$C$2:$C$505)</f>
        <v>10</v>
      </c>
      <c r="F58" s="7" cm="1">
        <f t="array" ref="F58">_xlfn.XLOOKUP(1, (Лист1!$A58=Лист2!$A$2:$A$505)*(Лист1!$B58=Лист2!$B$2:$B$505),Лист2!$D$2:$D$505)</f>
        <v>591</v>
      </c>
      <c r="G58" s="7" cm="1">
        <f t="array" ref="G58">_xlfn.XLOOKUP(1, (Лист1!$A58=Лист2!$A$2:$A$505)*(Лист1!$B58=Лист2!$B$2:$B$505),Лист2!$E$2:$E$505)</f>
        <v>513</v>
      </c>
      <c r="H58">
        <f t="shared" si="0"/>
        <v>84372.75</v>
      </c>
      <c r="I58">
        <f t="shared" si="1"/>
        <v>20</v>
      </c>
      <c r="J58">
        <f t="shared" si="2"/>
        <v>10</v>
      </c>
      <c r="K58">
        <f t="shared" si="3"/>
        <v>84372.75</v>
      </c>
      <c r="L58">
        <f t="shared" si="4"/>
        <v>10</v>
      </c>
      <c r="M58">
        <f t="shared" si="5"/>
        <v>84372.75</v>
      </c>
      <c r="O58" s="15"/>
      <c r="P58" s="15"/>
    </row>
    <row r="59" spans="1:16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 cm="1">
        <f t="array" ref="E59">_xlfn.XLOOKUP(1, (Лист1!$A59=Лист2!$A$2:$A$505)*(Лист1!$B59=Лист2!$B$2:$B$505),Лист2!$C$2:$C$505)</f>
        <v>10</v>
      </c>
      <c r="F59" s="7" cm="1">
        <f t="array" ref="F59">_xlfn.XLOOKUP(1, (Лист1!$A59=Лист2!$A$2:$A$505)*(Лист1!$B59=Лист2!$B$2:$B$505),Лист2!$D$2:$D$505)</f>
        <v>644</v>
      </c>
      <c r="G59" s="7" cm="1">
        <f t="array" ref="G59">_xlfn.XLOOKUP(1, (Лист1!$A59=Лист2!$A$2:$A$505)*(Лист1!$B59=Лист2!$B$2:$B$505),Лист2!$E$2:$E$505)</f>
        <v>559</v>
      </c>
      <c r="H59">
        <f t="shared" si="0"/>
        <v>104640</v>
      </c>
      <c r="I59">
        <f t="shared" si="1"/>
        <v>19</v>
      </c>
      <c r="J59">
        <f t="shared" si="2"/>
        <v>10</v>
      </c>
      <c r="K59">
        <f t="shared" si="3"/>
        <v>104640</v>
      </c>
      <c r="L59">
        <f t="shared" si="4"/>
        <v>10</v>
      </c>
      <c r="M59">
        <f t="shared" si="5"/>
        <v>104640</v>
      </c>
      <c r="O59" s="15"/>
      <c r="P59" s="15"/>
    </row>
    <row r="60" spans="1:16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 cm="1">
        <f t="array" ref="E60">_xlfn.XLOOKUP(1, (Лист1!$A60=Лист2!$A$2:$A$505)*(Лист1!$B60=Лист2!$B$2:$B$505),Лист2!$C$2:$C$505)</f>
        <v>10</v>
      </c>
      <c r="F60" s="7" cm="1">
        <f t="array" ref="F60">_xlfn.XLOOKUP(1, (Лист1!$A60=Лист2!$A$2:$A$505)*(Лист1!$B60=Лист2!$B$2:$B$505),Лист2!$D$2:$D$505)</f>
        <v>462</v>
      </c>
      <c r="G60" s="7" cm="1">
        <f t="array" ref="G60">_xlfn.XLOOKUP(1, (Лист1!$A60=Лист2!$A$2:$A$505)*(Лист1!$B60=Лист2!$B$2:$B$505),Лист2!$E$2:$E$505)</f>
        <v>396</v>
      </c>
      <c r="H60">
        <f t="shared" si="0"/>
        <v>72889.05</v>
      </c>
      <c r="I60">
        <f t="shared" si="1"/>
        <v>19</v>
      </c>
      <c r="J60">
        <f t="shared" si="2"/>
        <v>10</v>
      </c>
      <c r="K60">
        <f t="shared" si="3"/>
        <v>72889.05</v>
      </c>
      <c r="L60">
        <f t="shared" si="4"/>
        <v>10</v>
      </c>
      <c r="M60">
        <f t="shared" si="5"/>
        <v>72889.05</v>
      </c>
      <c r="O60" s="15"/>
      <c r="P60" s="15"/>
    </row>
    <row r="61" spans="1:16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 cm="1">
        <f t="array" ref="E61">_xlfn.XLOOKUP(1, (Лист1!$A61=Лист2!$A$2:$A$505)*(Лист1!$B61=Лист2!$B$2:$B$505),Лист2!$C$2:$C$505)</f>
        <v>10</v>
      </c>
      <c r="F61" s="7" cm="1">
        <f t="array" ref="F61">_xlfn.XLOOKUP(1, (Лист1!$A61=Лист2!$A$2:$A$505)*(Лист1!$B61=Лист2!$B$2:$B$505),Лист2!$D$2:$D$505)</f>
        <v>502</v>
      </c>
      <c r="G61" s="7" cm="1">
        <f t="array" ref="G61">_xlfn.XLOOKUP(1, (Лист1!$A61=Лист2!$A$2:$A$505)*(Лист1!$B61=Лист2!$B$2:$B$505),Лист2!$E$2:$E$505)</f>
        <v>433</v>
      </c>
      <c r="H61">
        <f t="shared" si="0"/>
        <v>79791.899999999994</v>
      </c>
      <c r="I61">
        <f t="shared" si="1"/>
        <v>18</v>
      </c>
      <c r="J61">
        <f t="shared" si="2"/>
        <v>10</v>
      </c>
      <c r="K61">
        <f t="shared" si="3"/>
        <v>79791.899999999994</v>
      </c>
      <c r="L61">
        <f t="shared" si="4"/>
        <v>10</v>
      </c>
      <c r="M61">
        <f t="shared" si="5"/>
        <v>79791.899999999994</v>
      </c>
      <c r="O61" s="15"/>
      <c r="P61" s="15"/>
    </row>
    <row r="62" spans="1:16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 cm="1">
        <f t="array" ref="E62">_xlfn.XLOOKUP(1, (Лист1!$A62=Лист2!$A$2:$A$505)*(Лист1!$B62=Лист2!$B$2:$B$505),Лист2!$C$2:$C$505)</f>
        <v>10</v>
      </c>
      <c r="F62" s="7" cm="1">
        <f t="array" ref="F62">_xlfn.XLOOKUP(1, (Лист1!$A62=Лист2!$A$2:$A$505)*(Лист1!$B62=Лист2!$B$2:$B$505),Лист2!$D$2:$D$505)</f>
        <v>416</v>
      </c>
      <c r="G62" s="7" cm="1">
        <f t="array" ref="G62">_xlfn.XLOOKUP(1, (Лист1!$A62=Лист2!$A$2:$A$505)*(Лист1!$B62=Лист2!$B$2:$B$505),Лист2!$E$2:$E$505)</f>
        <v>341</v>
      </c>
      <c r="H62">
        <f t="shared" si="0"/>
        <v>61788.15</v>
      </c>
      <c r="I62">
        <f t="shared" si="1"/>
        <v>18</v>
      </c>
      <c r="J62">
        <f t="shared" si="2"/>
        <v>10</v>
      </c>
      <c r="K62">
        <f t="shared" si="3"/>
        <v>61788.15</v>
      </c>
      <c r="L62">
        <f t="shared" si="4"/>
        <v>10</v>
      </c>
      <c r="M62">
        <f t="shared" si="5"/>
        <v>61788.15</v>
      </c>
      <c r="O62" s="15"/>
      <c r="P62" s="15"/>
    </row>
    <row r="63" spans="1:16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 cm="1">
        <f t="array" ref="E63">_xlfn.XLOOKUP(1, (Лист1!$A63=Лист2!$A$2:$A$505)*(Лист1!$B63=Лист2!$B$2:$B$505),Лист2!$C$2:$C$505)</f>
        <v>10</v>
      </c>
      <c r="F63" s="7" cm="1">
        <f t="array" ref="F63">_xlfn.XLOOKUP(1, (Лист1!$A63=Лист2!$A$2:$A$505)*(Лист1!$B63=Лист2!$B$2:$B$505),Лист2!$D$2:$D$505)</f>
        <v>692</v>
      </c>
      <c r="G63" s="7" cm="1">
        <f t="array" ref="G63">_xlfn.XLOOKUP(1, (Лист1!$A63=Лист2!$A$2:$A$505)*(Лист1!$B63=Лист2!$B$2:$B$505),Лист2!$E$2:$E$505)</f>
        <v>601</v>
      </c>
      <c r="H63">
        <f t="shared" si="0"/>
        <v>98310.9</v>
      </c>
      <c r="I63">
        <f t="shared" si="1"/>
        <v>22</v>
      </c>
      <c r="J63">
        <f t="shared" si="2"/>
        <v>10</v>
      </c>
      <c r="K63">
        <f t="shared" si="3"/>
        <v>98310.9</v>
      </c>
      <c r="L63">
        <f t="shared" si="4"/>
        <v>10</v>
      </c>
      <c r="M63">
        <f t="shared" si="5"/>
        <v>98310.9</v>
      </c>
      <c r="O63" s="15"/>
      <c r="P63" s="15"/>
    </row>
    <row r="64" spans="1:16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 cm="1">
        <f t="array" ref="E64">_xlfn.XLOOKUP(1, (Лист1!$A64=Лист2!$A$2:$A$505)*(Лист1!$B64=Лист2!$B$2:$B$505),Лист2!$C$2:$C$505)</f>
        <v>10</v>
      </c>
      <c r="F64" s="7" cm="1">
        <f t="array" ref="F64">_xlfn.XLOOKUP(1, (Лист1!$A64=Лист2!$A$2:$A$505)*(Лист1!$B64=Лист2!$B$2:$B$505),Лист2!$D$2:$D$505)</f>
        <v>554</v>
      </c>
      <c r="G64" s="7" cm="1">
        <f t="array" ref="G64">_xlfn.XLOOKUP(1, (Лист1!$A64=Лист2!$A$2:$A$505)*(Лист1!$B64=Лист2!$B$2:$B$505),Лист2!$E$2:$E$505)</f>
        <v>472</v>
      </c>
      <c r="H64">
        <f t="shared" si="0"/>
        <v>89113.95</v>
      </c>
      <c r="I64">
        <f t="shared" si="1"/>
        <v>18</v>
      </c>
      <c r="J64">
        <f t="shared" si="2"/>
        <v>10</v>
      </c>
      <c r="K64">
        <f t="shared" si="3"/>
        <v>89113.95</v>
      </c>
      <c r="L64">
        <f t="shared" si="4"/>
        <v>10</v>
      </c>
      <c r="M64">
        <f t="shared" si="5"/>
        <v>89113.95</v>
      </c>
      <c r="O64" s="15"/>
      <c r="P64" s="15"/>
    </row>
    <row r="65" spans="1:16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 cm="1">
        <f t="array" ref="E65">_xlfn.XLOOKUP(1, (Лист1!$A65=Лист2!$A$2:$A$505)*(Лист1!$B65=Лист2!$B$2:$B$505),Лист2!$C$2:$C$505)</f>
        <v>10</v>
      </c>
      <c r="F65" s="7" cm="1">
        <f t="array" ref="F65">_xlfn.XLOOKUP(1, (Лист1!$A65=Лист2!$A$2:$A$505)*(Лист1!$B65=Лист2!$B$2:$B$505),Лист2!$D$2:$D$505)</f>
        <v>526</v>
      </c>
      <c r="G65" s="7" cm="1">
        <f t="array" ref="G65">_xlfn.XLOOKUP(1, (Лист1!$A65=Лист2!$A$2:$A$505)*(Лист1!$B65=Лист2!$B$2:$B$505),Лист2!$E$2:$E$505)</f>
        <v>448</v>
      </c>
      <c r="H65">
        <f t="shared" si="0"/>
        <v>73296.45</v>
      </c>
      <c r="I65">
        <f t="shared" si="1"/>
        <v>20</v>
      </c>
      <c r="J65">
        <f t="shared" si="2"/>
        <v>10</v>
      </c>
      <c r="K65">
        <f t="shared" si="3"/>
        <v>73296.45</v>
      </c>
      <c r="L65">
        <f t="shared" si="4"/>
        <v>10</v>
      </c>
      <c r="M65">
        <f t="shared" si="5"/>
        <v>73296.45</v>
      </c>
      <c r="O65" s="15"/>
      <c r="P65" s="15"/>
    </row>
    <row r="66" spans="1:16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 cm="1">
        <f t="array" ref="E66">_xlfn.XLOOKUP(1, (Лист1!$A66=Лист2!$A$2:$A$505)*(Лист1!$B66=Лист2!$B$2:$B$505),Лист2!$C$2:$C$505)</f>
        <v>10</v>
      </c>
      <c r="F66" s="7" cm="1">
        <f t="array" ref="F66">_xlfn.XLOOKUP(1, (Лист1!$A66=Лист2!$A$2:$A$505)*(Лист1!$B66=Лист2!$B$2:$B$505),Лист2!$D$2:$D$505)</f>
        <v>677</v>
      </c>
      <c r="G66" s="7" cm="1">
        <f t="array" ref="G66">_xlfn.XLOOKUP(1, (Лист1!$A66=Лист2!$A$2:$A$505)*(Лист1!$B66=Лист2!$B$2:$B$505),Лист2!$E$2:$E$505)</f>
        <v>591</v>
      </c>
      <c r="H66">
        <f t="shared" si="0"/>
        <v>93552.3</v>
      </c>
      <c r="I66">
        <f t="shared" si="1"/>
        <v>21</v>
      </c>
      <c r="J66">
        <f t="shared" si="2"/>
        <v>10</v>
      </c>
      <c r="K66">
        <f t="shared" si="3"/>
        <v>93552.3</v>
      </c>
      <c r="L66">
        <f t="shared" si="4"/>
        <v>10</v>
      </c>
      <c r="M66">
        <f t="shared" si="5"/>
        <v>93552.3</v>
      </c>
      <c r="O66" s="15"/>
      <c r="P66" s="15"/>
    </row>
    <row r="67" spans="1:16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 cm="1">
        <f t="array" ref="E67">_xlfn.XLOOKUP(1, (Лист1!$A67=Лист2!$A$2:$A$505)*(Лист1!$B67=Лист2!$B$2:$B$505),Лист2!$C$2:$C$505)</f>
        <v>10</v>
      </c>
      <c r="F67" s="7" cm="1">
        <f t="array" ref="F67">_xlfn.XLOOKUP(1, (Лист1!$A67=Лист2!$A$2:$A$505)*(Лист1!$B67=Лист2!$B$2:$B$505),Лист2!$D$2:$D$505)</f>
        <v>745</v>
      </c>
      <c r="G67" s="7" cm="1">
        <f t="array" ref="G67">_xlfn.XLOOKUP(1, (Лист1!$A67=Лист2!$A$2:$A$505)*(Лист1!$B67=Лист2!$B$2:$B$505),Лист2!$E$2:$E$505)</f>
        <v>654</v>
      </c>
      <c r="H67">
        <f t="shared" ref="H67:H130" si="6">$D67/$E67</f>
        <v>103724.7</v>
      </c>
      <c r="I67">
        <f t="shared" ref="I67:I130" si="7">WEEKNUM($A67,2)</f>
        <v>21</v>
      </c>
      <c r="J67">
        <f t="shared" ref="J67:J130" si="8">AVERAGEIFS($E$2:$E$505,$I$2:$I$505,$I67,$B$2:$B$505,$B67)</f>
        <v>10</v>
      </c>
      <c r="K67">
        <f t="shared" ref="K67:K130" si="9">$D67/$J67</f>
        <v>103724.7</v>
      </c>
      <c r="L67">
        <f t="shared" ref="L67:L130" si="10">AVERAGEIFS($E$2:$E$505,$B$2:$B$505,$B67)</f>
        <v>10</v>
      </c>
      <c r="M67">
        <f t="shared" ref="M67:M130" si="11">$D67/$L67</f>
        <v>103724.7</v>
      </c>
      <c r="O67" s="15"/>
      <c r="P67" s="15"/>
    </row>
    <row r="68" spans="1:16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 cm="1">
        <f t="array" ref="E68">_xlfn.XLOOKUP(1, (Лист1!$A68=Лист2!$A$2:$A$505)*(Лист1!$B68=Лист2!$B$2:$B$505),Лист2!$C$2:$C$505)</f>
        <v>10</v>
      </c>
      <c r="F68" s="7" cm="1">
        <f t="array" ref="F68">_xlfn.XLOOKUP(1, (Лист1!$A68=Лист2!$A$2:$A$505)*(Лист1!$B68=Лист2!$B$2:$B$505),Лист2!$D$2:$D$505)</f>
        <v>511</v>
      </c>
      <c r="G68" s="7" cm="1">
        <f t="array" ref="G68">_xlfn.XLOOKUP(1, (Лист1!$A68=Лист2!$A$2:$A$505)*(Лист1!$B68=Лист2!$B$2:$B$505),Лист2!$E$2:$E$505)</f>
        <v>437</v>
      </c>
      <c r="H68">
        <f t="shared" si="6"/>
        <v>79332</v>
      </c>
      <c r="I68">
        <f t="shared" si="7"/>
        <v>19</v>
      </c>
      <c r="J68">
        <f t="shared" si="8"/>
        <v>10</v>
      </c>
      <c r="K68">
        <f t="shared" si="9"/>
        <v>79332</v>
      </c>
      <c r="L68">
        <f t="shared" si="10"/>
        <v>10</v>
      </c>
      <c r="M68">
        <f t="shared" si="11"/>
        <v>79332</v>
      </c>
      <c r="O68" s="15"/>
      <c r="P68" s="15"/>
    </row>
    <row r="69" spans="1:16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 cm="1">
        <f t="array" ref="E69">_xlfn.XLOOKUP(1, (Лист1!$A69=Лист2!$A$2:$A$505)*(Лист1!$B69=Лист2!$B$2:$B$505),Лист2!$C$2:$C$505)</f>
        <v>10</v>
      </c>
      <c r="F69" s="7" cm="1">
        <f t="array" ref="F69">_xlfn.XLOOKUP(1, (Лист1!$A69=Лист2!$A$2:$A$505)*(Лист1!$B69=Лист2!$B$2:$B$505),Лист2!$D$2:$D$505)</f>
        <v>580</v>
      </c>
      <c r="G69" s="7" cm="1">
        <f t="array" ref="G69">_xlfn.XLOOKUP(1, (Лист1!$A69=Лист2!$A$2:$A$505)*(Лист1!$B69=Лист2!$B$2:$B$505),Лист2!$E$2:$E$505)</f>
        <v>506</v>
      </c>
      <c r="H69">
        <f t="shared" si="6"/>
        <v>86998.35</v>
      </c>
      <c r="I69">
        <f t="shared" si="7"/>
        <v>18</v>
      </c>
      <c r="J69">
        <f t="shared" si="8"/>
        <v>10</v>
      </c>
      <c r="K69">
        <f t="shared" si="9"/>
        <v>86998.35</v>
      </c>
      <c r="L69">
        <f t="shared" si="10"/>
        <v>10</v>
      </c>
      <c r="M69">
        <f t="shared" si="11"/>
        <v>86998.35</v>
      </c>
      <c r="O69" s="15"/>
      <c r="P69" s="15"/>
    </row>
    <row r="70" spans="1:16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 cm="1">
        <f t="array" ref="E70">_xlfn.XLOOKUP(1, (Лист1!$A70=Лист2!$A$2:$A$505)*(Лист1!$B70=Лист2!$B$2:$B$505),Лист2!$C$2:$C$505)</f>
        <v>10</v>
      </c>
      <c r="F70" s="7" cm="1">
        <f t="array" ref="F70">_xlfn.XLOOKUP(1, (Лист1!$A70=Лист2!$A$2:$A$505)*(Лист1!$B70=Лист2!$B$2:$B$505),Лист2!$D$2:$D$505)</f>
        <v>612</v>
      </c>
      <c r="G70" s="7" cm="1">
        <f t="array" ref="G70">_xlfn.XLOOKUP(1, (Лист1!$A70=Лист2!$A$2:$A$505)*(Лист1!$B70=Лист2!$B$2:$B$505),Лист2!$E$2:$E$505)</f>
        <v>530</v>
      </c>
      <c r="H70">
        <f t="shared" si="6"/>
        <v>86571.45</v>
      </c>
      <c r="I70">
        <f t="shared" si="7"/>
        <v>20</v>
      </c>
      <c r="J70">
        <f t="shared" si="8"/>
        <v>10</v>
      </c>
      <c r="K70">
        <f t="shared" si="9"/>
        <v>86571.45</v>
      </c>
      <c r="L70">
        <f t="shared" si="10"/>
        <v>10</v>
      </c>
      <c r="M70">
        <f t="shared" si="11"/>
        <v>86571.45</v>
      </c>
      <c r="O70" s="15"/>
      <c r="P70" s="15"/>
    </row>
    <row r="71" spans="1:16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 cm="1">
        <f t="array" ref="E71">_xlfn.XLOOKUP(1, (Лист1!$A71=Лист2!$A$2:$A$505)*(Лист1!$B71=Лист2!$B$2:$B$505),Лист2!$C$2:$C$505)</f>
        <v>31</v>
      </c>
      <c r="F71" s="7" cm="1">
        <f t="array" ref="F71">_xlfn.XLOOKUP(1, (Лист1!$A71=Лист2!$A$2:$A$505)*(Лист1!$B71=Лист2!$B$2:$B$505),Лист2!$D$2:$D$505)</f>
        <v>5760</v>
      </c>
      <c r="G71" s="7" cm="1">
        <f t="array" ref="G71">_xlfn.XLOOKUP(1, (Лист1!$A71=Лист2!$A$2:$A$505)*(Лист1!$B71=Лист2!$B$2:$B$505),Лист2!$E$2:$E$505)</f>
        <v>5367</v>
      </c>
      <c r="H71">
        <f t="shared" si="6"/>
        <v>242343.43548387097</v>
      </c>
      <c r="I71">
        <f t="shared" si="7"/>
        <v>22</v>
      </c>
      <c r="J71">
        <f t="shared" si="8"/>
        <v>31</v>
      </c>
      <c r="K71">
        <f t="shared" si="9"/>
        <v>242343.43548387097</v>
      </c>
      <c r="L71">
        <f t="shared" si="10"/>
        <v>31</v>
      </c>
      <c r="M71">
        <f t="shared" si="11"/>
        <v>242343.43548387097</v>
      </c>
      <c r="O71" s="15"/>
      <c r="P71" s="15"/>
    </row>
    <row r="72" spans="1:16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 cm="1">
        <f t="array" ref="E72">_xlfn.XLOOKUP(1, (Лист1!$A72=Лист2!$A$2:$A$505)*(Лист1!$B72=Лист2!$B$2:$B$505),Лист2!$C$2:$C$505)</f>
        <v>10</v>
      </c>
      <c r="F72" s="7" cm="1">
        <f t="array" ref="F72">_xlfn.XLOOKUP(1, (Лист1!$A72=Лист2!$A$2:$A$505)*(Лист1!$B72=Лист2!$B$2:$B$505),Лист2!$D$2:$D$505)</f>
        <v>402</v>
      </c>
      <c r="G72" s="7" cm="1">
        <f t="array" ref="G72">_xlfn.XLOOKUP(1, (Лист1!$A72=Лист2!$A$2:$A$505)*(Лист1!$B72=Лист2!$B$2:$B$505),Лист2!$E$2:$E$505)</f>
        <v>333</v>
      </c>
      <c r="H72">
        <f t="shared" si="6"/>
        <v>63788.1</v>
      </c>
      <c r="I72">
        <f t="shared" si="7"/>
        <v>18</v>
      </c>
      <c r="J72">
        <f t="shared" si="8"/>
        <v>10</v>
      </c>
      <c r="K72">
        <f t="shared" si="9"/>
        <v>63788.1</v>
      </c>
      <c r="L72">
        <f t="shared" si="10"/>
        <v>10</v>
      </c>
      <c r="M72">
        <f t="shared" si="11"/>
        <v>63788.1</v>
      </c>
      <c r="O72" s="15"/>
      <c r="P72" s="15"/>
    </row>
    <row r="73" spans="1:16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 cm="1">
        <f t="array" ref="E73">_xlfn.XLOOKUP(1, (Лист1!$A73=Лист2!$A$2:$A$505)*(Лист1!$B73=Лист2!$B$2:$B$505),Лист2!$C$2:$C$505)</f>
        <v>31</v>
      </c>
      <c r="F73" s="7" cm="1">
        <f t="array" ref="F73">_xlfn.XLOOKUP(1, (Лист1!$A73=Лист2!$A$2:$A$505)*(Лист1!$B73=Лист2!$B$2:$B$505),Лист2!$D$2:$D$505)</f>
        <v>6735</v>
      </c>
      <c r="G73" s="7" cm="1">
        <f t="array" ref="G73">_xlfn.XLOOKUP(1, (Лист1!$A73=Лист2!$A$2:$A$505)*(Лист1!$B73=Лист2!$B$2:$B$505),Лист2!$E$2:$E$505)</f>
        <v>6264</v>
      </c>
      <c r="H73">
        <f t="shared" si="6"/>
        <v>295635.72580645164</v>
      </c>
      <c r="I73">
        <f t="shared" si="7"/>
        <v>22</v>
      </c>
      <c r="J73">
        <f t="shared" si="8"/>
        <v>31</v>
      </c>
      <c r="K73">
        <f t="shared" si="9"/>
        <v>295635.72580645164</v>
      </c>
      <c r="L73">
        <f t="shared" si="10"/>
        <v>31</v>
      </c>
      <c r="M73">
        <f t="shared" si="11"/>
        <v>295635.72580645164</v>
      </c>
      <c r="O73" s="15"/>
      <c r="P73" s="15"/>
    </row>
    <row r="74" spans="1:16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 cm="1">
        <f t="array" ref="E74">_xlfn.XLOOKUP(1, (Лист1!$A74=Лист2!$A$2:$A$505)*(Лист1!$B74=Лист2!$B$2:$B$505),Лист2!$C$2:$C$505)</f>
        <v>10</v>
      </c>
      <c r="F74" s="7" cm="1">
        <f t="array" ref="F74">_xlfn.XLOOKUP(1, (Лист1!$A74=Лист2!$A$2:$A$505)*(Лист1!$B74=Лист2!$B$2:$B$505),Лист2!$D$2:$D$505)</f>
        <v>465</v>
      </c>
      <c r="G74" s="7" cm="1">
        <f t="array" ref="G74">_xlfn.XLOOKUP(1, (Лист1!$A74=Лист2!$A$2:$A$505)*(Лист1!$B74=Лист2!$B$2:$B$505),Лист2!$E$2:$E$505)</f>
        <v>390</v>
      </c>
      <c r="H74">
        <f t="shared" si="6"/>
        <v>69683.25</v>
      </c>
      <c r="I74">
        <f t="shared" si="7"/>
        <v>19</v>
      </c>
      <c r="J74">
        <f t="shared" si="8"/>
        <v>10</v>
      </c>
      <c r="K74">
        <f t="shared" si="9"/>
        <v>69683.25</v>
      </c>
      <c r="L74">
        <f t="shared" si="10"/>
        <v>10</v>
      </c>
      <c r="M74">
        <f t="shared" si="11"/>
        <v>69683.25</v>
      </c>
      <c r="O74" s="15"/>
      <c r="P74" s="15"/>
    </row>
    <row r="75" spans="1:16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 cm="1">
        <f t="array" ref="E75">_xlfn.XLOOKUP(1, (Лист1!$A75=Лист2!$A$2:$A$505)*(Лист1!$B75=Лист2!$B$2:$B$505),Лист2!$C$2:$C$505)</f>
        <v>10</v>
      </c>
      <c r="F75" s="7" cm="1">
        <f t="array" ref="F75">_xlfn.XLOOKUP(1, (Лист1!$A75=Лист2!$A$2:$A$505)*(Лист1!$B75=Лист2!$B$2:$B$505),Лист2!$D$2:$D$505)</f>
        <v>828</v>
      </c>
      <c r="G75" s="7" cm="1">
        <f t="array" ref="G75">_xlfn.XLOOKUP(1, (Лист1!$A75=Лист2!$A$2:$A$505)*(Лист1!$B75=Лист2!$B$2:$B$505),Лист2!$E$2:$E$505)</f>
        <v>734</v>
      </c>
      <c r="H75">
        <f t="shared" si="6"/>
        <v>124138.35</v>
      </c>
      <c r="I75">
        <f t="shared" si="7"/>
        <v>21</v>
      </c>
      <c r="J75">
        <f t="shared" si="8"/>
        <v>10</v>
      </c>
      <c r="K75">
        <f t="shared" si="9"/>
        <v>124138.35</v>
      </c>
      <c r="L75">
        <f t="shared" si="10"/>
        <v>10</v>
      </c>
      <c r="M75">
        <f t="shared" si="11"/>
        <v>124138.35</v>
      </c>
      <c r="O75" s="15"/>
      <c r="P75" s="15"/>
    </row>
    <row r="76" spans="1:16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 cm="1">
        <f t="array" ref="E76">_xlfn.XLOOKUP(1, (Лист1!$A76=Лист2!$A$2:$A$505)*(Лист1!$B76=Лист2!$B$2:$B$505),Лист2!$C$2:$C$505)</f>
        <v>31</v>
      </c>
      <c r="F76" s="7" cm="1">
        <f t="array" ref="F76">_xlfn.XLOOKUP(1, (Лист1!$A76=Лист2!$A$2:$A$505)*(Лист1!$B76=Лист2!$B$2:$B$505),Лист2!$D$2:$D$505)</f>
        <v>5355</v>
      </c>
      <c r="G76" s="7" cm="1">
        <f t="array" ref="G76">_xlfn.XLOOKUP(1, (Лист1!$A76=Лист2!$A$2:$A$505)*(Лист1!$B76=Лист2!$B$2:$B$505),Лист2!$E$2:$E$505)</f>
        <v>4969</v>
      </c>
      <c r="H76">
        <f t="shared" si="6"/>
        <v>214244.17741935485</v>
      </c>
      <c r="I76">
        <f t="shared" si="7"/>
        <v>22</v>
      </c>
      <c r="J76">
        <f t="shared" si="8"/>
        <v>31</v>
      </c>
      <c r="K76">
        <f t="shared" si="9"/>
        <v>214244.17741935485</v>
      </c>
      <c r="L76">
        <f t="shared" si="10"/>
        <v>31</v>
      </c>
      <c r="M76">
        <f t="shared" si="11"/>
        <v>214244.17741935485</v>
      </c>
      <c r="O76" s="15"/>
      <c r="P76" s="15"/>
    </row>
    <row r="77" spans="1:16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 cm="1">
        <f t="array" ref="E77">_xlfn.XLOOKUP(1, (Лист1!$A77=Лист2!$A$2:$A$505)*(Лист1!$B77=Лист2!$B$2:$B$505),Лист2!$C$2:$C$505)</f>
        <v>10</v>
      </c>
      <c r="F77" s="7" cm="1">
        <f t="array" ref="F77">_xlfn.XLOOKUP(1, (Лист1!$A77=Лист2!$A$2:$A$505)*(Лист1!$B77=Лист2!$B$2:$B$505),Лист2!$D$2:$D$505)</f>
        <v>739</v>
      </c>
      <c r="G77" s="7" cm="1">
        <f t="array" ref="G77">_xlfn.XLOOKUP(1, (Лист1!$A77=Лист2!$A$2:$A$505)*(Лист1!$B77=Лист2!$B$2:$B$505),Лист2!$E$2:$E$505)</f>
        <v>642</v>
      </c>
      <c r="H77">
        <f t="shared" si="6"/>
        <v>103044</v>
      </c>
      <c r="I77">
        <f t="shared" si="7"/>
        <v>22</v>
      </c>
      <c r="J77">
        <f t="shared" si="8"/>
        <v>10</v>
      </c>
      <c r="K77">
        <f t="shared" si="9"/>
        <v>103044</v>
      </c>
      <c r="L77">
        <f t="shared" si="10"/>
        <v>10</v>
      </c>
      <c r="M77">
        <f t="shared" si="11"/>
        <v>103044</v>
      </c>
      <c r="O77" s="15"/>
      <c r="P77" s="15"/>
    </row>
    <row r="78" spans="1:16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 cm="1">
        <f t="array" ref="E78">_xlfn.XLOOKUP(1, (Лист1!$A78=Лист2!$A$2:$A$505)*(Лист1!$B78=Лист2!$B$2:$B$505),Лист2!$C$2:$C$505)</f>
        <v>10</v>
      </c>
      <c r="F78" s="7" cm="1">
        <f t="array" ref="F78">_xlfn.XLOOKUP(1, (Лист1!$A78=Лист2!$A$2:$A$505)*(Лист1!$B78=Лист2!$B$2:$B$505),Лист2!$D$2:$D$505)</f>
        <v>448</v>
      </c>
      <c r="G78" s="7" cm="1">
        <f t="array" ref="G78">_xlfn.XLOOKUP(1, (Лист1!$A78=Лист2!$A$2:$A$505)*(Лист1!$B78=Лист2!$B$2:$B$505),Лист2!$E$2:$E$505)</f>
        <v>376</v>
      </c>
      <c r="H78">
        <f t="shared" si="6"/>
        <v>71619.600000000006</v>
      </c>
      <c r="I78">
        <f t="shared" si="7"/>
        <v>18</v>
      </c>
      <c r="J78">
        <f t="shared" si="8"/>
        <v>10</v>
      </c>
      <c r="K78">
        <f t="shared" si="9"/>
        <v>71619.600000000006</v>
      </c>
      <c r="L78">
        <f t="shared" si="10"/>
        <v>10</v>
      </c>
      <c r="M78">
        <f t="shared" si="11"/>
        <v>71619.600000000006</v>
      </c>
      <c r="O78" s="15"/>
      <c r="P78" s="15"/>
    </row>
    <row r="79" spans="1:16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 cm="1">
        <f t="array" ref="E79">_xlfn.XLOOKUP(1, (Лист1!$A79=Лист2!$A$2:$A$505)*(Лист1!$B79=Лист2!$B$2:$B$505),Лист2!$C$2:$C$505)</f>
        <v>10</v>
      </c>
      <c r="F79" s="7" cm="1">
        <f t="array" ref="F79">_xlfn.XLOOKUP(1, (Лист1!$A79=Лист2!$A$2:$A$505)*(Лист1!$B79=Лист2!$B$2:$B$505),Лист2!$D$2:$D$505)</f>
        <v>642</v>
      </c>
      <c r="G79" s="7" cm="1">
        <f t="array" ref="G79">_xlfn.XLOOKUP(1, (Лист1!$A79=Лист2!$A$2:$A$505)*(Лист1!$B79=Лист2!$B$2:$B$505),Лист2!$E$2:$E$505)</f>
        <v>556</v>
      </c>
      <c r="H79">
        <f t="shared" si="6"/>
        <v>100478.85</v>
      </c>
      <c r="I79">
        <f t="shared" si="7"/>
        <v>19</v>
      </c>
      <c r="J79">
        <f t="shared" si="8"/>
        <v>10</v>
      </c>
      <c r="K79">
        <f t="shared" si="9"/>
        <v>100478.85</v>
      </c>
      <c r="L79">
        <f t="shared" si="10"/>
        <v>10</v>
      </c>
      <c r="M79">
        <f t="shared" si="11"/>
        <v>100478.85</v>
      </c>
      <c r="O79" s="15"/>
      <c r="P79" s="15"/>
    </row>
    <row r="80" spans="1:16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 cm="1">
        <f t="array" ref="E80">_xlfn.XLOOKUP(1, (Лист1!$A80=Лист2!$A$2:$A$505)*(Лист1!$B80=Лист2!$B$2:$B$505),Лист2!$C$2:$C$505)</f>
        <v>10</v>
      </c>
      <c r="F80" s="7" cm="1">
        <f t="array" ref="F80">_xlfn.XLOOKUP(1, (Лист1!$A80=Лист2!$A$2:$A$505)*(Лист1!$B80=Лист2!$B$2:$B$505),Лист2!$D$2:$D$505)</f>
        <v>638</v>
      </c>
      <c r="G80" s="7" cm="1">
        <f t="array" ref="G80">_xlfn.XLOOKUP(1, (Лист1!$A80=Лист2!$A$2:$A$505)*(Лист1!$B80=Лист2!$B$2:$B$505),Лист2!$E$2:$E$505)</f>
        <v>547</v>
      </c>
      <c r="H80">
        <f t="shared" si="6"/>
        <v>95970.3</v>
      </c>
      <c r="I80">
        <f t="shared" si="7"/>
        <v>19</v>
      </c>
      <c r="J80">
        <f t="shared" si="8"/>
        <v>10</v>
      </c>
      <c r="K80">
        <f t="shared" si="9"/>
        <v>95970.3</v>
      </c>
      <c r="L80">
        <f t="shared" si="10"/>
        <v>10</v>
      </c>
      <c r="M80">
        <f t="shared" si="11"/>
        <v>95970.3</v>
      </c>
      <c r="O80" s="15"/>
      <c r="P80" s="15"/>
    </row>
    <row r="81" spans="1:16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 cm="1">
        <f t="array" ref="E81">_xlfn.XLOOKUP(1, (Лист1!$A81=Лист2!$A$2:$A$505)*(Лист1!$B81=Лист2!$B$2:$B$505),Лист2!$C$2:$C$505)</f>
        <v>10</v>
      </c>
      <c r="F81" s="7" cm="1">
        <f t="array" ref="F81">_xlfn.XLOOKUP(1, (Лист1!$A81=Лист2!$A$2:$A$505)*(Лист1!$B81=Лист2!$B$2:$B$505),Лист2!$D$2:$D$505)</f>
        <v>563</v>
      </c>
      <c r="G81" s="7" cm="1">
        <f t="array" ref="G81">_xlfn.XLOOKUP(1, (Лист1!$A81=Лист2!$A$2:$A$505)*(Лист1!$B81=Лист2!$B$2:$B$505),Лист2!$E$2:$E$505)</f>
        <v>486</v>
      </c>
      <c r="H81">
        <f t="shared" si="6"/>
        <v>86375.4</v>
      </c>
      <c r="I81">
        <f t="shared" si="7"/>
        <v>19</v>
      </c>
      <c r="J81">
        <f t="shared" si="8"/>
        <v>10</v>
      </c>
      <c r="K81">
        <f t="shared" si="9"/>
        <v>86375.4</v>
      </c>
      <c r="L81">
        <f t="shared" si="10"/>
        <v>10</v>
      </c>
      <c r="M81">
        <f t="shared" si="11"/>
        <v>86375.4</v>
      </c>
      <c r="O81" s="15"/>
      <c r="P81" s="15"/>
    </row>
    <row r="82" spans="1:16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 cm="1">
        <f t="array" ref="E82">_xlfn.XLOOKUP(1, (Лист1!$A82=Лист2!$A$2:$A$505)*(Лист1!$B82=Лист2!$B$2:$B$505),Лист2!$C$2:$C$505)</f>
        <v>10</v>
      </c>
      <c r="F82" s="7" cm="1">
        <f t="array" ref="F82">_xlfn.XLOOKUP(1, (Лист1!$A82=Лист2!$A$2:$A$505)*(Лист1!$B82=Лист2!$B$2:$B$505),Лист2!$D$2:$D$505)</f>
        <v>639</v>
      </c>
      <c r="G82" s="7" cm="1">
        <f t="array" ref="G82">_xlfn.XLOOKUP(1, (Лист1!$A82=Лист2!$A$2:$A$505)*(Лист1!$B82=Лист2!$B$2:$B$505),Лист2!$E$2:$E$505)</f>
        <v>557</v>
      </c>
      <c r="H82">
        <f t="shared" si="6"/>
        <v>82898.399999999994</v>
      </c>
      <c r="I82">
        <f t="shared" si="7"/>
        <v>21</v>
      </c>
      <c r="J82">
        <f t="shared" si="8"/>
        <v>10</v>
      </c>
      <c r="K82">
        <f t="shared" si="9"/>
        <v>82898.399999999994</v>
      </c>
      <c r="L82">
        <f t="shared" si="10"/>
        <v>10</v>
      </c>
      <c r="M82">
        <f t="shared" si="11"/>
        <v>82898.399999999994</v>
      </c>
      <c r="O82" s="15"/>
      <c r="P82" s="15"/>
    </row>
    <row r="83" spans="1:16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 cm="1">
        <f t="array" ref="E83">_xlfn.XLOOKUP(1, (Лист1!$A83=Лист2!$A$2:$A$505)*(Лист1!$B83=Лист2!$B$2:$B$505),Лист2!$C$2:$C$505)</f>
        <v>10</v>
      </c>
      <c r="F83" s="7" cm="1">
        <f t="array" ref="F83">_xlfn.XLOOKUP(1, (Лист1!$A83=Лист2!$A$2:$A$505)*(Лист1!$B83=Лист2!$B$2:$B$505),Лист2!$D$2:$D$505)</f>
        <v>749</v>
      </c>
      <c r="G83" s="7" cm="1">
        <f t="array" ref="G83">_xlfn.XLOOKUP(1, (Лист1!$A83=Лист2!$A$2:$A$505)*(Лист1!$B83=Лист2!$B$2:$B$505),Лист2!$E$2:$E$505)</f>
        <v>655</v>
      </c>
      <c r="H83">
        <f t="shared" si="6"/>
        <v>104551.5</v>
      </c>
      <c r="I83">
        <f t="shared" si="7"/>
        <v>22</v>
      </c>
      <c r="J83">
        <f t="shared" si="8"/>
        <v>10</v>
      </c>
      <c r="K83">
        <f t="shared" si="9"/>
        <v>104551.5</v>
      </c>
      <c r="L83">
        <f t="shared" si="10"/>
        <v>10</v>
      </c>
      <c r="M83">
        <f t="shared" si="11"/>
        <v>104551.5</v>
      </c>
      <c r="O83" s="15"/>
      <c r="P83" s="15"/>
    </row>
    <row r="84" spans="1:16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 cm="1">
        <f t="array" ref="E84">_xlfn.XLOOKUP(1, (Лист1!$A84=Лист2!$A$2:$A$505)*(Лист1!$B84=Лист2!$B$2:$B$505),Лист2!$C$2:$C$505)</f>
        <v>10</v>
      </c>
      <c r="F84" s="7" cm="1">
        <f t="array" ref="F84">_xlfn.XLOOKUP(1, (Лист1!$A84=Лист2!$A$2:$A$505)*(Лист1!$B84=Лист2!$B$2:$B$505),Лист2!$D$2:$D$505)</f>
        <v>865</v>
      </c>
      <c r="G84" s="7" cm="1">
        <f t="array" ref="G84">_xlfn.XLOOKUP(1, (Лист1!$A84=Лист2!$A$2:$A$505)*(Лист1!$B84=Лист2!$B$2:$B$505),Лист2!$E$2:$E$505)</f>
        <v>763</v>
      </c>
      <c r="H84">
        <f t="shared" si="6"/>
        <v>126048.3</v>
      </c>
      <c r="I84">
        <f t="shared" si="7"/>
        <v>22</v>
      </c>
      <c r="J84">
        <f t="shared" si="8"/>
        <v>10</v>
      </c>
      <c r="K84">
        <f t="shared" si="9"/>
        <v>126048.3</v>
      </c>
      <c r="L84">
        <f t="shared" si="10"/>
        <v>10</v>
      </c>
      <c r="M84">
        <f t="shared" si="11"/>
        <v>126048.3</v>
      </c>
      <c r="O84" s="15"/>
      <c r="P84" s="15"/>
    </row>
    <row r="85" spans="1:16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 cm="1">
        <f t="array" ref="E85">_xlfn.XLOOKUP(1, (Лист1!$A85=Лист2!$A$2:$A$505)*(Лист1!$B85=Лист2!$B$2:$B$505),Лист2!$C$2:$C$505)</f>
        <v>10</v>
      </c>
      <c r="F85" s="7" cm="1">
        <f t="array" ref="F85">_xlfn.XLOOKUP(1, (Лист1!$A85=Лист2!$A$2:$A$505)*(Лист1!$B85=Лист2!$B$2:$B$505),Лист2!$D$2:$D$505)</f>
        <v>791</v>
      </c>
      <c r="G85" s="7" cm="1">
        <f t="array" ref="G85">_xlfn.XLOOKUP(1, (Лист1!$A85=Лист2!$A$2:$A$505)*(Лист1!$B85=Лист2!$B$2:$B$505),Лист2!$E$2:$E$505)</f>
        <v>697</v>
      </c>
      <c r="H85">
        <f t="shared" si="6"/>
        <v>111455.25</v>
      </c>
      <c r="I85">
        <f t="shared" si="7"/>
        <v>22</v>
      </c>
      <c r="J85">
        <f t="shared" si="8"/>
        <v>10</v>
      </c>
      <c r="K85">
        <f t="shared" si="9"/>
        <v>111455.25</v>
      </c>
      <c r="L85">
        <f t="shared" si="10"/>
        <v>10</v>
      </c>
      <c r="M85">
        <f t="shared" si="11"/>
        <v>111455.25</v>
      </c>
      <c r="O85" s="15"/>
      <c r="P85" s="15"/>
    </row>
    <row r="86" spans="1:16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 cm="1">
        <f t="array" ref="E86">_xlfn.XLOOKUP(1, (Лист1!$A86=Лист2!$A$2:$A$505)*(Лист1!$B86=Лист2!$B$2:$B$505),Лист2!$C$2:$C$505)</f>
        <v>19</v>
      </c>
      <c r="F86" s="7" cm="1">
        <f t="array" ref="F86">_xlfn.XLOOKUP(1, (Лист1!$A86=Лист2!$A$2:$A$505)*(Лист1!$B86=Лист2!$B$2:$B$505),Лист2!$D$2:$D$505)</f>
        <v>2080</v>
      </c>
      <c r="G86" s="7" cm="1">
        <f t="array" ref="G86">_xlfn.XLOOKUP(1, (Лист1!$A86=Лист2!$A$2:$A$505)*(Лист1!$B86=Лист2!$B$2:$B$505),Лист2!$E$2:$E$505)</f>
        <v>1844</v>
      </c>
      <c r="H86">
        <f t="shared" si="6"/>
        <v>169606.18421052632</v>
      </c>
      <c r="I86">
        <f t="shared" si="7"/>
        <v>20</v>
      </c>
      <c r="J86">
        <f t="shared" si="8"/>
        <v>19</v>
      </c>
      <c r="K86">
        <f t="shared" si="9"/>
        <v>169606.18421052632</v>
      </c>
      <c r="L86">
        <f t="shared" si="10"/>
        <v>19.228571428571428</v>
      </c>
      <c r="M86">
        <f t="shared" si="11"/>
        <v>167590.0631500743</v>
      </c>
      <c r="O86" s="15"/>
      <c r="P86" s="15"/>
    </row>
    <row r="87" spans="1:16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 cm="1">
        <f t="array" ref="E87">_xlfn.XLOOKUP(1, (Лист1!$A87=Лист2!$A$2:$A$505)*(Лист1!$B87=Лист2!$B$2:$B$505),Лист2!$C$2:$C$505)</f>
        <v>19</v>
      </c>
      <c r="F87" s="7" cm="1">
        <f t="array" ref="F87">_xlfn.XLOOKUP(1, (Лист1!$A87=Лист2!$A$2:$A$505)*(Лист1!$B87=Лист2!$B$2:$B$505),Лист2!$D$2:$D$505)</f>
        <v>1999</v>
      </c>
      <c r="G87" s="7" cm="1">
        <f t="array" ref="G87">_xlfn.XLOOKUP(1, (Лист1!$A87=Лист2!$A$2:$A$505)*(Лист1!$B87=Лист2!$B$2:$B$505),Лист2!$E$2:$E$505)</f>
        <v>1799</v>
      </c>
      <c r="H87">
        <f t="shared" si="6"/>
        <v>150807.23684210525</v>
      </c>
      <c r="I87">
        <f t="shared" si="7"/>
        <v>21</v>
      </c>
      <c r="J87">
        <f t="shared" si="8"/>
        <v>19.428571428571427</v>
      </c>
      <c r="K87">
        <f t="shared" si="9"/>
        <v>147480.60661764708</v>
      </c>
      <c r="L87">
        <f t="shared" si="10"/>
        <v>19.228571428571428</v>
      </c>
      <c r="M87">
        <f t="shared" si="11"/>
        <v>149014.58023774147</v>
      </c>
      <c r="O87" s="15"/>
      <c r="P87" s="15"/>
    </row>
    <row r="88" spans="1:16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 cm="1">
        <f t="array" ref="E88">_xlfn.XLOOKUP(1, (Лист1!$A88=Лист2!$A$2:$A$505)*(Лист1!$B88=Лист2!$B$2:$B$505),Лист2!$C$2:$C$505)</f>
        <v>19</v>
      </c>
      <c r="F88" s="7" cm="1">
        <f t="array" ref="F88">_xlfn.XLOOKUP(1, (Лист1!$A88=Лист2!$A$2:$A$505)*(Лист1!$B88=Лист2!$B$2:$B$505),Лист2!$D$2:$D$505)</f>
        <v>1871</v>
      </c>
      <c r="G88" s="7" cm="1">
        <f t="array" ref="G88">_xlfn.XLOOKUP(1, (Лист1!$A88=Лист2!$A$2:$A$505)*(Лист1!$B88=Лист2!$B$2:$B$505),Лист2!$E$2:$E$505)</f>
        <v>1660</v>
      </c>
      <c r="H88">
        <f t="shared" si="6"/>
        <v>141804.71052631579</v>
      </c>
      <c r="I88">
        <f t="shared" si="7"/>
        <v>20</v>
      </c>
      <c r="J88">
        <f t="shared" si="8"/>
        <v>19</v>
      </c>
      <c r="K88">
        <f t="shared" si="9"/>
        <v>141804.71052631579</v>
      </c>
      <c r="L88">
        <f t="shared" si="10"/>
        <v>19.228571428571428</v>
      </c>
      <c r="M88">
        <f t="shared" si="11"/>
        <v>140119.06760772661</v>
      </c>
      <c r="O88" s="15"/>
      <c r="P88" s="15"/>
    </row>
    <row r="89" spans="1:16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 cm="1">
        <f t="array" ref="E89">_xlfn.XLOOKUP(1, (Лист1!$A89=Лист2!$A$2:$A$505)*(Лист1!$B89=Лист2!$B$2:$B$505),Лист2!$C$2:$C$505)</f>
        <v>19</v>
      </c>
      <c r="F89" s="7" cm="1">
        <f t="array" ref="F89">_xlfn.XLOOKUP(1, (Лист1!$A89=Лист2!$A$2:$A$505)*(Лист1!$B89=Лист2!$B$2:$B$505),Лист2!$D$2:$D$505)</f>
        <v>1851</v>
      </c>
      <c r="G89" s="7" cm="1">
        <f t="array" ref="G89">_xlfn.XLOOKUP(1, (Лист1!$A89=Лист2!$A$2:$A$505)*(Лист1!$B89=Лист2!$B$2:$B$505),Лист2!$E$2:$E$505)</f>
        <v>1635</v>
      </c>
      <c r="H89">
        <f t="shared" si="6"/>
        <v>152745.63157894736</v>
      </c>
      <c r="I89">
        <f t="shared" si="7"/>
        <v>19</v>
      </c>
      <c r="J89">
        <f t="shared" si="8"/>
        <v>19</v>
      </c>
      <c r="K89">
        <f t="shared" si="9"/>
        <v>152745.63157894736</v>
      </c>
      <c r="L89">
        <f t="shared" si="10"/>
        <v>19.228571428571428</v>
      </c>
      <c r="M89">
        <f t="shared" si="11"/>
        <v>150929.93313521545</v>
      </c>
      <c r="O89" s="15"/>
      <c r="P89" s="15"/>
    </row>
    <row r="90" spans="1:16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 cm="1">
        <f t="array" ref="E90">_xlfn.XLOOKUP(1, (Лист1!$A90=Лист2!$A$2:$A$505)*(Лист1!$B90=Лист2!$B$2:$B$505),Лист2!$C$2:$C$505)</f>
        <v>19</v>
      </c>
      <c r="F90" s="7" cm="1">
        <f t="array" ref="F90">_xlfn.XLOOKUP(1, (Лист1!$A90=Лист2!$A$2:$A$505)*(Лист1!$B90=Лист2!$B$2:$B$505),Лист2!$D$2:$D$505)</f>
        <v>1582</v>
      </c>
      <c r="G90" s="7" cm="1">
        <f t="array" ref="G90">_xlfn.XLOOKUP(1, (Лист1!$A90=Лист2!$A$2:$A$505)*(Лист1!$B90=Лист2!$B$2:$B$505),Лист2!$E$2:$E$505)</f>
        <v>1403</v>
      </c>
      <c r="H90">
        <f t="shared" si="6"/>
        <v>128998.34210526316</v>
      </c>
      <c r="I90">
        <f t="shared" si="7"/>
        <v>19</v>
      </c>
      <c r="J90">
        <f t="shared" si="8"/>
        <v>19</v>
      </c>
      <c r="K90">
        <f t="shared" si="9"/>
        <v>128998.34210526316</v>
      </c>
      <c r="L90">
        <f t="shared" si="10"/>
        <v>19.228571428571428</v>
      </c>
      <c r="M90">
        <f t="shared" si="11"/>
        <v>127464.9294205052</v>
      </c>
      <c r="O90" s="15"/>
      <c r="P90" s="15"/>
    </row>
    <row r="91" spans="1:16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 cm="1">
        <f t="array" ref="E91">_xlfn.XLOOKUP(1, (Лист1!$A91=Лист2!$A$2:$A$505)*(Лист1!$B91=Лист2!$B$2:$B$505),Лист2!$C$2:$C$505)</f>
        <v>18</v>
      </c>
      <c r="F91" s="7" cm="1">
        <f t="array" ref="F91">_xlfn.XLOOKUP(1, (Лист1!$A91=Лист2!$A$2:$A$505)*(Лист1!$B91=Лист2!$B$2:$B$505),Лист2!$D$2:$D$505)</f>
        <v>1534</v>
      </c>
      <c r="G91" s="7" cm="1">
        <f t="array" ref="G91">_xlfn.XLOOKUP(1, (Лист1!$A91=Лист2!$A$2:$A$505)*(Лист1!$B91=Лист2!$B$2:$B$505),Лист2!$E$2:$E$505)</f>
        <v>1369</v>
      </c>
      <c r="H91">
        <f t="shared" si="6"/>
        <v>133199.33333333334</v>
      </c>
      <c r="I91">
        <f t="shared" si="7"/>
        <v>18</v>
      </c>
      <c r="J91">
        <f t="shared" si="8"/>
        <v>18.5</v>
      </c>
      <c r="K91">
        <f t="shared" si="9"/>
        <v>129599.35135135135</v>
      </c>
      <c r="L91">
        <f t="shared" si="10"/>
        <v>19.228571428571428</v>
      </c>
      <c r="M91">
        <f t="shared" si="11"/>
        <v>124688.82615156018</v>
      </c>
      <c r="O91" s="15"/>
      <c r="P91" s="15"/>
    </row>
    <row r="92" spans="1:16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 cm="1">
        <f t="array" ref="E92">_xlfn.XLOOKUP(1, (Лист1!$A92=Лист2!$A$2:$A$505)*(Лист1!$B92=Лист2!$B$2:$B$505),Лист2!$C$2:$C$505)</f>
        <v>19</v>
      </c>
      <c r="F92" s="7" cm="1">
        <f t="array" ref="F92">_xlfn.XLOOKUP(1, (Лист1!$A92=Лист2!$A$2:$A$505)*(Лист1!$B92=Лист2!$B$2:$B$505),Лист2!$D$2:$D$505)</f>
        <v>1217</v>
      </c>
      <c r="G92" s="7" cm="1">
        <f t="array" ref="G92">_xlfn.XLOOKUP(1, (Лист1!$A92=Лист2!$A$2:$A$505)*(Лист1!$B92=Лист2!$B$2:$B$505),Лист2!$E$2:$E$505)</f>
        <v>1048</v>
      </c>
      <c r="H92">
        <f t="shared" si="6"/>
        <v>94696.34210526316</v>
      </c>
      <c r="I92">
        <f t="shared" si="7"/>
        <v>18</v>
      </c>
      <c r="J92">
        <f t="shared" si="8"/>
        <v>18.5</v>
      </c>
      <c r="K92">
        <f t="shared" si="9"/>
        <v>97255.702702702707</v>
      </c>
      <c r="L92">
        <f t="shared" si="10"/>
        <v>19.228571428571428</v>
      </c>
      <c r="M92">
        <f t="shared" si="11"/>
        <v>93570.679791976232</v>
      </c>
      <c r="O92" s="15"/>
      <c r="P92" s="15"/>
    </row>
    <row r="93" spans="1:16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 cm="1">
        <f t="array" ref="E93">_xlfn.XLOOKUP(1, (Лист1!$A93=Лист2!$A$2:$A$505)*(Лист1!$B93=Лист2!$B$2:$B$505),Лист2!$C$2:$C$505)</f>
        <v>20</v>
      </c>
      <c r="F93" s="7" cm="1">
        <f t="array" ref="F93">_xlfn.XLOOKUP(1, (Лист1!$A93=Лист2!$A$2:$A$505)*(Лист1!$B93=Лист2!$B$2:$B$505),Лист2!$D$2:$D$505)</f>
        <v>2036</v>
      </c>
      <c r="G93" s="7" cm="1">
        <f t="array" ref="G93">_xlfn.XLOOKUP(1, (Лист1!$A93=Лист2!$A$2:$A$505)*(Лист1!$B93=Лист2!$B$2:$B$505),Лист2!$E$2:$E$505)</f>
        <v>1790</v>
      </c>
      <c r="H93">
        <f t="shared" si="6"/>
        <v>145370.54999999999</v>
      </c>
      <c r="I93">
        <f t="shared" si="7"/>
        <v>22</v>
      </c>
      <c r="J93">
        <f t="shared" si="8"/>
        <v>20</v>
      </c>
      <c r="K93">
        <f t="shared" si="9"/>
        <v>145370.54999999999</v>
      </c>
      <c r="L93">
        <f t="shared" si="10"/>
        <v>19.228571428571428</v>
      </c>
      <c r="M93">
        <f t="shared" si="11"/>
        <v>151202.65230312035</v>
      </c>
      <c r="O93" s="15"/>
      <c r="P93" s="15"/>
    </row>
    <row r="94" spans="1:16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 cm="1">
        <f t="array" ref="E94">_xlfn.XLOOKUP(1, (Лист1!$A94=Лист2!$A$2:$A$505)*(Лист1!$B94=Лист2!$B$2:$B$505),Лист2!$C$2:$C$505)</f>
        <v>19</v>
      </c>
      <c r="F94" s="7" cm="1">
        <f t="array" ref="F94">_xlfn.XLOOKUP(1, (Лист1!$A94=Лист2!$A$2:$A$505)*(Лист1!$B94=Лист2!$B$2:$B$505),Лист2!$D$2:$D$505)</f>
        <v>1497</v>
      </c>
      <c r="G94" s="7" cm="1">
        <f t="array" ref="G94">_xlfn.XLOOKUP(1, (Лист1!$A94=Лист2!$A$2:$A$505)*(Лист1!$B94=Лист2!$B$2:$B$505),Лист2!$E$2:$E$505)</f>
        <v>1291</v>
      </c>
      <c r="H94">
        <f t="shared" si="6"/>
        <v>124966.10526315789</v>
      </c>
      <c r="I94">
        <f t="shared" si="7"/>
        <v>18</v>
      </c>
      <c r="J94">
        <f t="shared" si="8"/>
        <v>18.5</v>
      </c>
      <c r="K94">
        <f t="shared" si="9"/>
        <v>128343.56756756757</v>
      </c>
      <c r="L94">
        <f t="shared" si="10"/>
        <v>19.228571428571428</v>
      </c>
      <c r="M94">
        <f t="shared" si="11"/>
        <v>123480.62407132244</v>
      </c>
      <c r="O94" s="15"/>
      <c r="P94" s="15"/>
    </row>
    <row r="95" spans="1:16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 cm="1">
        <f t="array" ref="E95">_xlfn.XLOOKUP(1, (Лист1!$A95=Лист2!$A$2:$A$505)*(Лист1!$B95=Лист2!$B$2:$B$505),Лист2!$C$2:$C$505)</f>
        <v>19</v>
      </c>
      <c r="F95" s="7" cm="1">
        <f t="array" ref="F95">_xlfn.XLOOKUP(1, (Лист1!$A95=Лист2!$A$2:$A$505)*(Лист1!$B95=Лист2!$B$2:$B$505),Лист2!$D$2:$D$505)</f>
        <v>1649</v>
      </c>
      <c r="G95" s="7" cm="1">
        <f t="array" ref="G95">_xlfn.XLOOKUP(1, (Лист1!$A95=Лист2!$A$2:$A$505)*(Лист1!$B95=Лист2!$B$2:$B$505),Лист2!$E$2:$E$505)</f>
        <v>1460</v>
      </c>
      <c r="H95">
        <f t="shared" si="6"/>
        <v>124759.57894736843</v>
      </c>
      <c r="I95">
        <f t="shared" si="7"/>
        <v>20</v>
      </c>
      <c r="J95">
        <f t="shared" si="8"/>
        <v>19</v>
      </c>
      <c r="K95">
        <f t="shared" si="9"/>
        <v>124759.57894736843</v>
      </c>
      <c r="L95">
        <f t="shared" si="10"/>
        <v>19.228571428571428</v>
      </c>
      <c r="M95">
        <f t="shared" si="11"/>
        <v>123276.55274888559</v>
      </c>
      <c r="O95" s="15"/>
      <c r="P95" s="15"/>
    </row>
    <row r="96" spans="1:16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 cm="1">
        <f t="array" ref="E96">_xlfn.XLOOKUP(1, (Лист1!$A96=Лист2!$A$2:$A$505)*(Лист1!$B96=Лист2!$B$2:$B$505),Лист2!$C$2:$C$505)</f>
        <v>19</v>
      </c>
      <c r="F96" s="7" cm="1">
        <f t="array" ref="F96">_xlfn.XLOOKUP(1, (Лист1!$A96=Лист2!$A$2:$A$505)*(Лист1!$B96=Лист2!$B$2:$B$505),Лист2!$D$2:$D$505)</f>
        <v>1949</v>
      </c>
      <c r="G96" s="7" cm="1">
        <f t="array" ref="G96">_xlfn.XLOOKUP(1, (Лист1!$A96=Лист2!$A$2:$A$505)*(Лист1!$B96=Лист2!$B$2:$B$505),Лист2!$E$2:$E$505)</f>
        <v>1724</v>
      </c>
      <c r="H96">
        <f t="shared" si="6"/>
        <v>150167.44736842104</v>
      </c>
      <c r="I96">
        <f t="shared" si="7"/>
        <v>21</v>
      </c>
      <c r="J96">
        <f t="shared" si="8"/>
        <v>19.428571428571427</v>
      </c>
      <c r="K96">
        <f t="shared" si="9"/>
        <v>146854.93014705883</v>
      </c>
      <c r="L96">
        <f t="shared" si="10"/>
        <v>19.228571428571428</v>
      </c>
      <c r="M96">
        <f t="shared" si="11"/>
        <v>148382.39598811293</v>
      </c>
      <c r="O96" s="15"/>
      <c r="P96" s="15"/>
    </row>
    <row r="97" spans="1:16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 cm="1">
        <f t="array" ref="E97">_xlfn.XLOOKUP(1, (Лист1!$A97=Лист2!$A$2:$A$505)*(Лист1!$B97=Лист2!$B$2:$B$505),Лист2!$C$2:$C$505)</f>
        <v>19</v>
      </c>
      <c r="F97" s="7" cm="1">
        <f t="array" ref="F97">_xlfn.XLOOKUP(1, (Лист1!$A97=Лист2!$A$2:$A$505)*(Лист1!$B97=Лист2!$B$2:$B$505),Лист2!$D$2:$D$505)</f>
        <v>1889</v>
      </c>
      <c r="G97" s="7" cm="1">
        <f t="array" ref="G97">_xlfn.XLOOKUP(1, (Лист1!$A97=Лист2!$A$2:$A$505)*(Лист1!$B97=Лист2!$B$2:$B$505),Лист2!$E$2:$E$505)</f>
        <v>1690</v>
      </c>
      <c r="H97">
        <f t="shared" si="6"/>
        <v>141696.31578947368</v>
      </c>
      <c r="I97">
        <f t="shared" si="7"/>
        <v>21</v>
      </c>
      <c r="J97">
        <f t="shared" si="8"/>
        <v>19.428571428571427</v>
      </c>
      <c r="K97">
        <f t="shared" si="9"/>
        <v>138570.6617647059</v>
      </c>
      <c r="L97">
        <f t="shared" si="10"/>
        <v>19.228571428571428</v>
      </c>
      <c r="M97">
        <f t="shared" si="11"/>
        <v>140011.96136701337</v>
      </c>
      <c r="O97" s="15"/>
      <c r="P97" s="15"/>
    </row>
    <row r="98" spans="1:16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 cm="1">
        <f t="array" ref="E98">_xlfn.XLOOKUP(1, (Лист1!$A98=Лист2!$A$2:$A$505)*(Лист1!$B98=Лист2!$B$2:$B$505),Лист2!$C$2:$C$505)</f>
        <v>19</v>
      </c>
      <c r="F98" s="7" cm="1">
        <f t="array" ref="F98">_xlfn.XLOOKUP(1, (Лист1!$A98=Лист2!$A$2:$A$505)*(Лист1!$B98=Лист2!$B$2:$B$505),Лист2!$D$2:$D$505)</f>
        <v>1417</v>
      </c>
      <c r="G98" s="7" cm="1">
        <f t="array" ref="G98">_xlfn.XLOOKUP(1, (Лист1!$A98=Лист2!$A$2:$A$505)*(Лист1!$B98=Лист2!$B$2:$B$505),Лист2!$E$2:$E$505)</f>
        <v>1245</v>
      </c>
      <c r="H98">
        <f t="shared" si="6"/>
        <v>109468.42105263157</v>
      </c>
      <c r="I98">
        <f t="shared" si="7"/>
        <v>19</v>
      </c>
      <c r="J98">
        <f t="shared" si="8"/>
        <v>19</v>
      </c>
      <c r="K98">
        <f t="shared" si="9"/>
        <v>109468.42105263157</v>
      </c>
      <c r="L98">
        <f t="shared" si="10"/>
        <v>19.228571428571428</v>
      </c>
      <c r="M98">
        <f t="shared" si="11"/>
        <v>108167.16196136702</v>
      </c>
      <c r="O98" s="15"/>
      <c r="P98" s="15"/>
    </row>
    <row r="99" spans="1:16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 cm="1">
        <f t="array" ref="E99">_xlfn.XLOOKUP(1, (Лист1!$A99=Лист2!$A$2:$A$505)*(Лист1!$B99=Лист2!$B$2:$B$505),Лист2!$C$2:$C$505)</f>
        <v>17</v>
      </c>
      <c r="F99" s="7" cm="1">
        <f t="array" ref="F99">_xlfn.XLOOKUP(1, (Лист1!$A99=Лист2!$A$2:$A$505)*(Лист1!$B99=Лист2!$B$2:$B$505),Лист2!$D$2:$D$505)</f>
        <v>1439</v>
      </c>
      <c r="G99" s="7" cm="1">
        <f t="array" ref="G99">_xlfn.XLOOKUP(1, (Лист1!$A99=Лист2!$A$2:$A$505)*(Лист1!$B99=Лист2!$B$2:$B$505),Лист2!$E$2:$E$505)</f>
        <v>1265</v>
      </c>
      <c r="H99">
        <f t="shared" si="6"/>
        <v>125695.14705882352</v>
      </c>
      <c r="I99">
        <f t="shared" si="7"/>
        <v>18</v>
      </c>
      <c r="J99">
        <f t="shared" si="8"/>
        <v>18.5</v>
      </c>
      <c r="K99">
        <f t="shared" si="9"/>
        <v>115503.64864864865</v>
      </c>
      <c r="L99">
        <f t="shared" si="10"/>
        <v>19.228571428571428</v>
      </c>
      <c r="M99">
        <f t="shared" si="11"/>
        <v>111127.2102526003</v>
      </c>
      <c r="O99" s="15"/>
      <c r="P99" s="15"/>
    </row>
    <row r="100" spans="1:16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 cm="1">
        <f t="array" ref="E100">_xlfn.XLOOKUP(1, (Лист1!$A100=Лист2!$A$2:$A$505)*(Лист1!$B100=Лист2!$B$2:$B$505),Лист2!$C$2:$C$505)</f>
        <v>19</v>
      </c>
      <c r="F100" s="7" cm="1">
        <f t="array" ref="F100">_xlfn.XLOOKUP(1, (Лист1!$A100=Лист2!$A$2:$A$505)*(Лист1!$B100=Лист2!$B$2:$B$505),Лист2!$D$2:$D$505)</f>
        <v>1625</v>
      </c>
      <c r="G100" s="7" cm="1">
        <f t="array" ref="G100">_xlfn.XLOOKUP(1, (Лист1!$A100=Лист2!$A$2:$A$505)*(Лист1!$B100=Лист2!$B$2:$B$505),Лист2!$E$2:$E$505)</f>
        <v>1444</v>
      </c>
      <c r="H100">
        <f t="shared" si="6"/>
        <v>124912.5</v>
      </c>
      <c r="I100">
        <f t="shared" si="7"/>
        <v>20</v>
      </c>
      <c r="J100">
        <f t="shared" si="8"/>
        <v>19</v>
      </c>
      <c r="K100">
        <f t="shared" si="9"/>
        <v>124912.5</v>
      </c>
      <c r="L100">
        <f t="shared" si="10"/>
        <v>19.228571428571428</v>
      </c>
      <c r="M100">
        <f t="shared" si="11"/>
        <v>123427.65601783061</v>
      </c>
      <c r="O100" s="15"/>
      <c r="P100" s="15"/>
    </row>
    <row r="101" spans="1:16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 cm="1">
        <f t="array" ref="E101">_xlfn.XLOOKUP(1, (Лист1!$A101=Лист2!$A$2:$A$505)*(Лист1!$B101=Лист2!$B$2:$B$505),Лист2!$C$2:$C$505)</f>
        <v>19</v>
      </c>
      <c r="F101" s="7" cm="1">
        <f t="array" ref="F101">_xlfn.XLOOKUP(1, (Лист1!$A101=Лист2!$A$2:$A$505)*(Лист1!$B101=Лист2!$B$2:$B$505),Лист2!$D$2:$D$505)</f>
        <v>1402</v>
      </c>
      <c r="G101" s="7" cm="1">
        <f t="array" ref="G101">_xlfn.XLOOKUP(1, (Лист1!$A101=Лист2!$A$2:$A$505)*(Лист1!$B101=Лист2!$B$2:$B$505),Лист2!$E$2:$E$505)</f>
        <v>1234</v>
      </c>
      <c r="H101">
        <f t="shared" si="6"/>
        <v>114226.81578947368</v>
      </c>
      <c r="I101">
        <f t="shared" si="7"/>
        <v>18</v>
      </c>
      <c r="J101">
        <f t="shared" si="8"/>
        <v>18.5</v>
      </c>
      <c r="K101">
        <f t="shared" si="9"/>
        <v>117314.02702702703</v>
      </c>
      <c r="L101">
        <f t="shared" si="10"/>
        <v>19.228571428571428</v>
      </c>
      <c r="M101">
        <f t="shared" si="11"/>
        <v>112868.99331352155</v>
      </c>
      <c r="O101" s="15"/>
      <c r="P101" s="15"/>
    </row>
    <row r="102" spans="1:16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 cm="1">
        <f t="array" ref="E102">_xlfn.XLOOKUP(1, (Лист1!$A102=Лист2!$A$2:$A$505)*(Лист1!$B102=Лист2!$B$2:$B$505),Лист2!$C$2:$C$505)</f>
        <v>19</v>
      </c>
      <c r="F102" s="7" cm="1">
        <f t="array" ref="F102">_xlfn.XLOOKUP(1, (Лист1!$A102=Лист2!$A$2:$A$505)*(Лист1!$B102=Лист2!$B$2:$B$505),Лист2!$D$2:$D$505)</f>
        <v>1499</v>
      </c>
      <c r="G102" s="7" cm="1">
        <f t="array" ref="G102">_xlfn.XLOOKUP(1, (Лист1!$A102=Лист2!$A$2:$A$505)*(Лист1!$B102=Лист2!$B$2:$B$505),Лист2!$E$2:$E$505)</f>
        <v>1323</v>
      </c>
      <c r="H102">
        <f t="shared" si="6"/>
        <v>117501</v>
      </c>
      <c r="I102">
        <f t="shared" si="7"/>
        <v>19</v>
      </c>
      <c r="J102">
        <f t="shared" si="8"/>
        <v>19</v>
      </c>
      <c r="K102">
        <f t="shared" si="9"/>
        <v>117501</v>
      </c>
      <c r="L102">
        <f t="shared" si="10"/>
        <v>19.228571428571428</v>
      </c>
      <c r="M102">
        <f t="shared" si="11"/>
        <v>116104.25705794948</v>
      </c>
      <c r="O102" s="15"/>
      <c r="P102" s="15"/>
    </row>
    <row r="103" spans="1:16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 cm="1">
        <f t="array" ref="E103">_xlfn.XLOOKUP(1, (Лист1!$A103=Лист2!$A$2:$A$505)*(Лист1!$B103=Лист2!$B$2:$B$505),Лист2!$C$2:$C$505)</f>
        <v>20</v>
      </c>
      <c r="F103" s="7" cm="1">
        <f t="array" ref="F103">_xlfn.XLOOKUP(1, (Лист1!$A103=Лист2!$A$2:$A$505)*(Лист1!$B103=Лист2!$B$2:$B$505),Лист2!$D$2:$D$505)</f>
        <v>2266</v>
      </c>
      <c r="G103" s="7" cm="1">
        <f t="array" ref="G103">_xlfn.XLOOKUP(1, (Лист1!$A103=Лист2!$A$2:$A$505)*(Лист1!$B103=Лист2!$B$2:$B$505),Лист2!$E$2:$E$505)</f>
        <v>1993</v>
      </c>
      <c r="H103">
        <f t="shared" si="6"/>
        <v>169268.625</v>
      </c>
      <c r="I103">
        <f t="shared" si="7"/>
        <v>21</v>
      </c>
      <c r="J103">
        <f t="shared" si="8"/>
        <v>19.428571428571427</v>
      </c>
      <c r="K103">
        <f t="shared" si="9"/>
        <v>174247.11397058825</v>
      </c>
      <c r="L103">
        <f t="shared" si="10"/>
        <v>19.228571428571428</v>
      </c>
      <c r="M103">
        <f t="shared" si="11"/>
        <v>176059.49108469542</v>
      </c>
      <c r="O103" s="15"/>
      <c r="P103" s="15"/>
    </row>
    <row r="104" spans="1:16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 cm="1">
        <f t="array" ref="E104">_xlfn.XLOOKUP(1, (Лист1!$A104=Лист2!$A$2:$A$505)*(Лист1!$B104=Лист2!$B$2:$B$505),Лист2!$C$2:$C$505)</f>
        <v>20</v>
      </c>
      <c r="F104" s="7" cm="1">
        <f t="array" ref="F104">_xlfn.XLOOKUP(1, (Лист1!$A104=Лист2!$A$2:$A$505)*(Лист1!$B104=Лист2!$B$2:$B$505),Лист2!$D$2:$D$505)</f>
        <v>2011</v>
      </c>
      <c r="G104" s="7" cm="1">
        <f t="array" ref="G104">_xlfn.XLOOKUP(1, (Лист1!$A104=Лист2!$A$2:$A$505)*(Лист1!$B104=Лист2!$B$2:$B$505),Лист2!$E$2:$E$505)</f>
        <v>1791</v>
      </c>
      <c r="H104">
        <f t="shared" si="6"/>
        <v>143286.375</v>
      </c>
      <c r="I104">
        <f t="shared" si="7"/>
        <v>22</v>
      </c>
      <c r="J104">
        <f t="shared" si="8"/>
        <v>20</v>
      </c>
      <c r="K104">
        <f t="shared" si="9"/>
        <v>143286.375</v>
      </c>
      <c r="L104">
        <f t="shared" si="10"/>
        <v>19.228571428571428</v>
      </c>
      <c r="M104">
        <f t="shared" si="11"/>
        <v>149034.86255572067</v>
      </c>
      <c r="O104" s="15"/>
      <c r="P104" s="15"/>
    </row>
    <row r="105" spans="1:16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 cm="1">
        <f t="array" ref="E105">_xlfn.XLOOKUP(1, (Лист1!$A105=Лист2!$A$2:$A$505)*(Лист1!$B105=Лист2!$B$2:$B$505),Лист2!$C$2:$C$505)</f>
        <v>19</v>
      </c>
      <c r="F105" s="7" cm="1">
        <f t="array" ref="F105">_xlfn.XLOOKUP(1, (Лист1!$A105=Лист2!$A$2:$A$505)*(Лист1!$B105=Лист2!$B$2:$B$505),Лист2!$D$2:$D$505)</f>
        <v>1499</v>
      </c>
      <c r="G105" s="7" cm="1">
        <f t="array" ref="G105">_xlfn.XLOOKUP(1, (Лист1!$A105=Лист2!$A$2:$A$505)*(Лист1!$B105=Лист2!$B$2:$B$505),Лист2!$E$2:$E$505)</f>
        <v>1322</v>
      </c>
      <c r="H105">
        <f t="shared" si="6"/>
        <v>119350.73684210527</v>
      </c>
      <c r="I105">
        <f t="shared" si="7"/>
        <v>18</v>
      </c>
      <c r="J105">
        <f t="shared" si="8"/>
        <v>18.5</v>
      </c>
      <c r="K105">
        <f t="shared" si="9"/>
        <v>122576.43243243243</v>
      </c>
      <c r="L105">
        <f t="shared" si="10"/>
        <v>19.228571428571428</v>
      </c>
      <c r="M105">
        <f t="shared" si="11"/>
        <v>117932.00594353641</v>
      </c>
      <c r="O105" s="15"/>
      <c r="P105" s="15"/>
    </row>
    <row r="106" spans="1:16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 cm="1">
        <f t="array" ref="E106">_xlfn.XLOOKUP(1, (Лист1!$A106=Лист2!$A$2:$A$505)*(Лист1!$B106=Лист2!$B$2:$B$505),Лист2!$C$2:$C$505)</f>
        <v>19</v>
      </c>
      <c r="F106" s="7" cm="1">
        <f t="array" ref="F106">_xlfn.XLOOKUP(1, (Лист1!$A106=Лист2!$A$2:$A$505)*(Лист1!$B106=Лист2!$B$2:$B$505),Лист2!$D$2:$D$505)</f>
        <v>1848</v>
      </c>
      <c r="G106" s="7" cm="1">
        <f t="array" ref="G106">_xlfn.XLOOKUP(1, (Лист1!$A106=Лист2!$A$2:$A$505)*(Лист1!$B106=Лист2!$B$2:$B$505),Лист2!$E$2:$E$505)</f>
        <v>1649</v>
      </c>
      <c r="H106">
        <f t="shared" si="6"/>
        <v>150647.28947368421</v>
      </c>
      <c r="I106">
        <f t="shared" si="7"/>
        <v>19</v>
      </c>
      <c r="J106">
        <f t="shared" si="8"/>
        <v>19</v>
      </c>
      <c r="K106">
        <f t="shared" si="9"/>
        <v>150647.28947368421</v>
      </c>
      <c r="L106">
        <f t="shared" si="10"/>
        <v>19.228571428571428</v>
      </c>
      <c r="M106">
        <f t="shared" si="11"/>
        <v>148856.53417533432</v>
      </c>
      <c r="O106" s="15"/>
      <c r="P106" s="15"/>
    </row>
    <row r="107" spans="1:16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 cm="1">
        <f t="array" ref="E107">_xlfn.XLOOKUP(1, (Лист1!$A107=Лист2!$A$2:$A$505)*(Лист1!$B107=Лист2!$B$2:$B$505),Лист2!$C$2:$C$505)</f>
        <v>19</v>
      </c>
      <c r="F107" s="7" cm="1">
        <f t="array" ref="F107">_xlfn.XLOOKUP(1, (Лист1!$A107=Лист2!$A$2:$A$505)*(Лист1!$B107=Лист2!$B$2:$B$505),Лист2!$D$2:$D$505)</f>
        <v>1522</v>
      </c>
      <c r="G107" s="7" cm="1">
        <f t="array" ref="G107">_xlfn.XLOOKUP(1, (Лист1!$A107=Лист2!$A$2:$A$505)*(Лист1!$B107=Лист2!$B$2:$B$505),Лист2!$E$2:$E$505)</f>
        <v>1340</v>
      </c>
      <c r="H107">
        <f t="shared" si="6"/>
        <v>119550.23684210527</v>
      </c>
      <c r="I107">
        <f t="shared" si="7"/>
        <v>19</v>
      </c>
      <c r="J107">
        <f t="shared" si="8"/>
        <v>19</v>
      </c>
      <c r="K107">
        <f t="shared" si="9"/>
        <v>119550.23684210527</v>
      </c>
      <c r="L107">
        <f t="shared" si="10"/>
        <v>19.228571428571428</v>
      </c>
      <c r="M107">
        <f t="shared" si="11"/>
        <v>118129.13447251116</v>
      </c>
      <c r="O107" s="15"/>
      <c r="P107" s="15"/>
    </row>
    <row r="108" spans="1:16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 cm="1">
        <f t="array" ref="E108">_xlfn.XLOOKUP(1, (Лист1!$A108=Лист2!$A$2:$A$505)*(Лист1!$B108=Лист2!$B$2:$B$505),Лист2!$C$2:$C$505)</f>
        <v>19</v>
      </c>
      <c r="F108" s="7" cm="1">
        <f t="array" ref="F108">_xlfn.XLOOKUP(1, (Лист1!$A108=Лист2!$A$2:$A$505)*(Лист1!$B108=Лист2!$B$2:$B$505),Лист2!$D$2:$D$505)</f>
        <v>1530</v>
      </c>
      <c r="G108" s="7" cm="1">
        <f t="array" ref="G108">_xlfn.XLOOKUP(1, (Лист1!$A108=Лист2!$A$2:$A$505)*(Лист1!$B108=Лист2!$B$2:$B$505),Лист2!$E$2:$E$505)</f>
        <v>1338</v>
      </c>
      <c r="H108">
        <f t="shared" si="6"/>
        <v>123719.60526315789</v>
      </c>
      <c r="I108">
        <f t="shared" si="7"/>
        <v>19</v>
      </c>
      <c r="J108">
        <f t="shared" si="8"/>
        <v>19</v>
      </c>
      <c r="K108">
        <f t="shared" si="9"/>
        <v>123719.60526315789</v>
      </c>
      <c r="L108">
        <f t="shared" si="10"/>
        <v>19.228571428571428</v>
      </c>
      <c r="M108">
        <f t="shared" si="11"/>
        <v>122248.94130757802</v>
      </c>
      <c r="O108" s="15"/>
      <c r="P108" s="15"/>
    </row>
    <row r="109" spans="1:16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 cm="1">
        <f t="array" ref="E109">_xlfn.XLOOKUP(1, (Лист1!$A109=Лист2!$A$2:$A$505)*(Лист1!$B109=Лист2!$B$2:$B$505),Лист2!$C$2:$C$505)</f>
        <v>20</v>
      </c>
      <c r="F109" s="7" cm="1">
        <f t="array" ref="F109">_xlfn.XLOOKUP(1, (Лист1!$A109=Лист2!$A$2:$A$505)*(Лист1!$B109=Лист2!$B$2:$B$505),Лист2!$D$2:$D$505)</f>
        <v>2015</v>
      </c>
      <c r="G109" s="7" cm="1">
        <f t="array" ref="G109">_xlfn.XLOOKUP(1, (Лист1!$A109=Лист2!$A$2:$A$505)*(Лист1!$B109=Лист2!$B$2:$B$505),Лист2!$E$2:$E$505)</f>
        <v>1803</v>
      </c>
      <c r="H109">
        <f t="shared" si="6"/>
        <v>145776.67499999999</v>
      </c>
      <c r="I109">
        <f t="shared" si="7"/>
        <v>21</v>
      </c>
      <c r="J109">
        <f t="shared" si="8"/>
        <v>19.428571428571427</v>
      </c>
      <c r="K109">
        <f t="shared" si="9"/>
        <v>150064.2242647059</v>
      </c>
      <c r="L109">
        <f t="shared" si="10"/>
        <v>19.228571428571428</v>
      </c>
      <c r="M109">
        <f t="shared" si="11"/>
        <v>151625.07057949482</v>
      </c>
      <c r="O109" s="15"/>
      <c r="P109" s="15"/>
    </row>
    <row r="110" spans="1:16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 cm="1">
        <f t="array" ref="E110">_xlfn.XLOOKUP(1, (Лист1!$A110=Лист2!$A$2:$A$505)*(Лист1!$B110=Лист2!$B$2:$B$505),Лист2!$C$2:$C$505)</f>
        <v>20</v>
      </c>
      <c r="F110" s="7" cm="1">
        <f t="array" ref="F110">_xlfn.XLOOKUP(1, (Лист1!$A110=Лист2!$A$2:$A$505)*(Лист1!$B110=Лист2!$B$2:$B$505),Лист2!$D$2:$D$505)</f>
        <v>2060</v>
      </c>
      <c r="G110" s="7" cm="1">
        <f t="array" ref="G110">_xlfn.XLOOKUP(1, (Лист1!$A110=Лист2!$A$2:$A$505)*(Лист1!$B110=Лист2!$B$2:$B$505),Лист2!$E$2:$E$505)</f>
        <v>1826</v>
      </c>
      <c r="H110">
        <f t="shared" si="6"/>
        <v>149599.95000000001</v>
      </c>
      <c r="I110">
        <f t="shared" si="7"/>
        <v>22</v>
      </c>
      <c r="J110">
        <f t="shared" si="8"/>
        <v>20</v>
      </c>
      <c r="K110">
        <f t="shared" si="9"/>
        <v>149599.95000000001</v>
      </c>
      <c r="L110">
        <f t="shared" si="10"/>
        <v>19.228571428571428</v>
      </c>
      <c r="M110">
        <f t="shared" si="11"/>
        <v>155601.73105497772</v>
      </c>
      <c r="O110" s="15"/>
      <c r="P110" s="15"/>
    </row>
    <row r="111" spans="1:16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 cm="1">
        <f t="array" ref="E111">_xlfn.XLOOKUP(1, (Лист1!$A111=Лист2!$A$2:$A$505)*(Лист1!$B111=Лист2!$B$2:$B$505),Лист2!$C$2:$C$505)</f>
        <v>20</v>
      </c>
      <c r="F111" s="7" cm="1">
        <f t="array" ref="F111">_xlfn.XLOOKUP(1, (Лист1!$A111=Лист2!$A$2:$A$505)*(Лист1!$B111=Лист2!$B$2:$B$505),Лист2!$D$2:$D$505)</f>
        <v>2451</v>
      </c>
      <c r="G111" s="7" cm="1">
        <f t="array" ref="G111">_xlfn.XLOOKUP(1, (Лист1!$A111=Лист2!$A$2:$A$505)*(Лист1!$B111=Лист2!$B$2:$B$505),Лист2!$E$2:$E$505)</f>
        <v>2178</v>
      </c>
      <c r="H111">
        <f t="shared" si="6"/>
        <v>182708.32500000001</v>
      </c>
      <c r="I111">
        <f t="shared" si="7"/>
        <v>22</v>
      </c>
      <c r="J111">
        <f t="shared" si="8"/>
        <v>20</v>
      </c>
      <c r="K111">
        <f t="shared" si="9"/>
        <v>182708.32500000001</v>
      </c>
      <c r="L111">
        <f t="shared" si="10"/>
        <v>19.228571428571428</v>
      </c>
      <c r="M111">
        <f t="shared" si="11"/>
        <v>190038.37667161963</v>
      </c>
      <c r="O111" s="15"/>
      <c r="P111" s="15"/>
    </row>
    <row r="112" spans="1:16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 cm="1">
        <f t="array" ref="E112">_xlfn.XLOOKUP(1, (Лист1!$A112=Лист2!$A$2:$A$505)*(Лист1!$B112=Лист2!$B$2:$B$505),Лист2!$C$2:$C$505)</f>
        <v>20</v>
      </c>
      <c r="F112" s="7" cm="1">
        <f t="array" ref="F112">_xlfn.XLOOKUP(1, (Лист1!$A112=Лист2!$A$2:$A$505)*(Лист1!$B112=Лист2!$B$2:$B$505),Лист2!$D$2:$D$505)</f>
        <v>2088</v>
      </c>
      <c r="G112" s="7" cm="1">
        <f t="array" ref="G112">_xlfn.XLOOKUP(1, (Лист1!$A112=Лист2!$A$2:$A$505)*(Лист1!$B112=Лист2!$B$2:$B$505),Лист2!$E$2:$E$505)</f>
        <v>1848</v>
      </c>
      <c r="H112">
        <f t="shared" si="6"/>
        <v>150210.67499999999</v>
      </c>
      <c r="I112">
        <f t="shared" si="7"/>
        <v>22</v>
      </c>
      <c r="J112">
        <f t="shared" si="8"/>
        <v>20</v>
      </c>
      <c r="K112">
        <f t="shared" si="9"/>
        <v>150210.67499999999</v>
      </c>
      <c r="L112">
        <f t="shared" si="10"/>
        <v>19.228571428571428</v>
      </c>
      <c r="M112">
        <f t="shared" si="11"/>
        <v>156236.95765230313</v>
      </c>
      <c r="O112" s="15"/>
      <c r="P112" s="15"/>
    </row>
    <row r="113" spans="1:16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 cm="1">
        <f t="array" ref="E113">_xlfn.XLOOKUP(1, (Лист1!$A113=Лист2!$A$2:$A$505)*(Лист1!$B113=Лист2!$B$2:$B$505),Лист2!$C$2:$C$505)</f>
        <v>129</v>
      </c>
      <c r="F113" s="7" cm="1">
        <f t="array" ref="F113">_xlfn.XLOOKUP(1, (Лист1!$A113=Лист2!$A$2:$A$505)*(Лист1!$B113=Лист2!$B$2:$B$505),Лист2!$D$2:$D$505)</f>
        <v>17914</v>
      </c>
      <c r="G113" s="7" cm="1">
        <f t="array" ref="G113">_xlfn.XLOOKUP(1, (Лист1!$A113=Лист2!$A$2:$A$505)*(Лист1!$B113=Лист2!$B$2:$B$505),Лист2!$E$2:$E$505)</f>
        <v>16631</v>
      </c>
      <c r="H113">
        <f t="shared" si="6"/>
        <v>249890.41860465117</v>
      </c>
      <c r="I113">
        <f t="shared" si="7"/>
        <v>20</v>
      </c>
      <c r="J113">
        <f t="shared" si="8"/>
        <v>129</v>
      </c>
      <c r="K113">
        <f t="shared" si="9"/>
        <v>249890.41860465117</v>
      </c>
      <c r="L113">
        <f t="shared" si="10"/>
        <v>128.91428571428571</v>
      </c>
      <c r="M113">
        <f t="shared" si="11"/>
        <v>250056.56914893616</v>
      </c>
      <c r="O113" s="15"/>
      <c r="P113" s="15"/>
    </row>
    <row r="114" spans="1:16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 cm="1">
        <f t="array" ref="E114">_xlfn.XLOOKUP(1, (Лист1!$A114=Лист2!$A$2:$A$505)*(Лист1!$B114=Лист2!$B$2:$B$505),Лист2!$C$2:$C$505)</f>
        <v>129</v>
      </c>
      <c r="F114" s="7" cm="1">
        <f t="array" ref="F114">_xlfn.XLOOKUP(1, (Лист1!$A114=Лист2!$A$2:$A$505)*(Лист1!$B114=Лист2!$B$2:$B$505),Лист2!$D$2:$D$505)</f>
        <v>16191</v>
      </c>
      <c r="G114" s="7" cm="1">
        <f t="array" ref="G114">_xlfn.XLOOKUP(1, (Лист1!$A114=Лист2!$A$2:$A$505)*(Лист1!$B114=Лист2!$B$2:$B$505),Лист2!$E$2:$E$505)</f>
        <v>15102</v>
      </c>
      <c r="H114">
        <f t="shared" si="6"/>
        <v>210028.09302325582</v>
      </c>
      <c r="I114">
        <f t="shared" si="7"/>
        <v>21</v>
      </c>
      <c r="J114">
        <f t="shared" si="8"/>
        <v>129</v>
      </c>
      <c r="K114">
        <f t="shared" si="9"/>
        <v>210028.09302325582</v>
      </c>
      <c r="L114">
        <f t="shared" si="10"/>
        <v>128.91428571428571</v>
      </c>
      <c r="M114">
        <f t="shared" si="11"/>
        <v>210167.73936170214</v>
      </c>
      <c r="O114" s="15"/>
      <c r="P114" s="15"/>
    </row>
    <row r="115" spans="1:16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 cm="1">
        <f t="array" ref="E115">_xlfn.XLOOKUP(1, (Лист1!$A115=Лист2!$A$2:$A$505)*(Лист1!$B115=Лист2!$B$2:$B$505),Лист2!$C$2:$C$505)</f>
        <v>129</v>
      </c>
      <c r="F115" s="7" cm="1">
        <f t="array" ref="F115">_xlfn.XLOOKUP(1, (Лист1!$A115=Лист2!$A$2:$A$505)*(Лист1!$B115=Лист2!$B$2:$B$505),Лист2!$D$2:$D$505)</f>
        <v>15744</v>
      </c>
      <c r="G115" s="7" cm="1">
        <f t="array" ref="G115">_xlfn.XLOOKUP(1, (Лист1!$A115=Лист2!$A$2:$A$505)*(Лист1!$B115=Лист2!$B$2:$B$505),Лист2!$E$2:$E$505)</f>
        <v>14685</v>
      </c>
      <c r="H115">
        <f t="shared" si="6"/>
        <v>206666.12790697673</v>
      </c>
      <c r="I115">
        <f t="shared" si="7"/>
        <v>20</v>
      </c>
      <c r="J115">
        <f t="shared" si="8"/>
        <v>129</v>
      </c>
      <c r="K115">
        <f t="shared" si="9"/>
        <v>206666.12790697673</v>
      </c>
      <c r="L115">
        <f t="shared" si="10"/>
        <v>128.91428571428571</v>
      </c>
      <c r="M115">
        <f t="shared" si="11"/>
        <v>206803.53889627659</v>
      </c>
      <c r="O115" s="15"/>
      <c r="P115" s="15"/>
    </row>
    <row r="116" spans="1:16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 cm="1">
        <f t="array" ref="E116">_xlfn.XLOOKUP(1, (Лист1!$A116=Лист2!$A$2:$A$505)*(Лист1!$B116=Лист2!$B$2:$B$505),Лист2!$C$2:$C$505)</f>
        <v>129</v>
      </c>
      <c r="F116" s="7" cm="1">
        <f t="array" ref="F116">_xlfn.XLOOKUP(1, (Лист1!$A116=Лист2!$A$2:$A$505)*(Лист1!$B116=Лист2!$B$2:$B$505),Лист2!$D$2:$D$505)</f>
        <v>16420</v>
      </c>
      <c r="G116" s="7" cm="1">
        <f t="array" ref="G116">_xlfn.XLOOKUP(1, (Лист1!$A116=Лист2!$A$2:$A$505)*(Лист1!$B116=Лист2!$B$2:$B$505),Лист2!$E$2:$E$505)</f>
        <v>15169</v>
      </c>
      <c r="H116">
        <f t="shared" si="6"/>
        <v>230761.23255813954</v>
      </c>
      <c r="I116">
        <f t="shared" si="7"/>
        <v>19</v>
      </c>
      <c r="J116">
        <f t="shared" si="8"/>
        <v>129</v>
      </c>
      <c r="K116">
        <f t="shared" si="9"/>
        <v>230761.23255813954</v>
      </c>
      <c r="L116">
        <f t="shared" si="10"/>
        <v>128.91428571428571</v>
      </c>
      <c r="M116">
        <f t="shared" si="11"/>
        <v>230914.66422872341</v>
      </c>
      <c r="O116" s="15"/>
      <c r="P116" s="15"/>
    </row>
    <row r="117" spans="1:16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 cm="1">
        <f t="array" ref="E117">_xlfn.XLOOKUP(1, (Лист1!$A117=Лист2!$A$2:$A$505)*(Лист1!$B117=Лист2!$B$2:$B$505),Лист2!$C$2:$C$505)</f>
        <v>129</v>
      </c>
      <c r="F117" s="7" cm="1">
        <f t="array" ref="F117">_xlfn.XLOOKUP(1, (Лист1!$A117=Лист2!$A$2:$A$505)*(Лист1!$B117=Лист2!$B$2:$B$505),Лист2!$D$2:$D$505)</f>
        <v>16525</v>
      </c>
      <c r="G117" s="7" cm="1">
        <f t="array" ref="G117">_xlfn.XLOOKUP(1, (Лист1!$A117=Лист2!$A$2:$A$505)*(Лист1!$B117=Лист2!$B$2:$B$505),Лист2!$E$2:$E$505)</f>
        <v>15310</v>
      </c>
      <c r="H117">
        <f t="shared" si="6"/>
        <v>227580.93023255814</v>
      </c>
      <c r="I117">
        <f t="shared" si="7"/>
        <v>19</v>
      </c>
      <c r="J117">
        <f t="shared" si="8"/>
        <v>129</v>
      </c>
      <c r="K117">
        <f t="shared" si="9"/>
        <v>227580.93023255814</v>
      </c>
      <c r="L117">
        <f t="shared" si="10"/>
        <v>128.91428571428571</v>
      </c>
      <c r="M117">
        <f t="shared" si="11"/>
        <v>227732.24734042553</v>
      </c>
      <c r="O117" s="15"/>
      <c r="P117" s="15"/>
    </row>
    <row r="118" spans="1:16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 cm="1">
        <f t="array" ref="E118">_xlfn.XLOOKUP(1, (Лист1!$A118=Лист2!$A$2:$A$505)*(Лист1!$B118=Лист2!$B$2:$B$505),Лист2!$C$2:$C$505)</f>
        <v>128</v>
      </c>
      <c r="F118" s="7" cm="1">
        <f t="array" ref="F118">_xlfn.XLOOKUP(1, (Лист1!$A118=Лист2!$A$2:$A$505)*(Лист1!$B118=Лист2!$B$2:$B$505),Лист2!$D$2:$D$505)</f>
        <v>17368</v>
      </c>
      <c r="G118" s="7" cm="1">
        <f t="array" ref="G118">_xlfn.XLOOKUP(1, (Лист1!$A118=Лист2!$A$2:$A$505)*(Лист1!$B118=Лист2!$B$2:$B$505),Лист2!$E$2:$E$505)</f>
        <v>16077</v>
      </c>
      <c r="H118">
        <f t="shared" si="6"/>
        <v>241166.30859375</v>
      </c>
      <c r="I118">
        <f t="shared" si="7"/>
        <v>18</v>
      </c>
      <c r="J118">
        <f t="shared" si="8"/>
        <v>128.66666666666666</v>
      </c>
      <c r="K118">
        <f t="shared" si="9"/>
        <v>239916.7422279793</v>
      </c>
      <c r="L118">
        <f t="shared" si="10"/>
        <v>128.91428571428571</v>
      </c>
      <c r="M118">
        <f t="shared" si="11"/>
        <v>239455.90924202127</v>
      </c>
      <c r="O118" s="15"/>
      <c r="P118" s="15"/>
    </row>
    <row r="119" spans="1:16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 cm="1">
        <f t="array" ref="E119">_xlfn.XLOOKUP(1, (Лист1!$A119=Лист2!$A$2:$A$505)*(Лист1!$B119=Лист2!$B$2:$B$505),Лист2!$C$2:$C$505)</f>
        <v>129</v>
      </c>
      <c r="F119" s="7" cm="1">
        <f t="array" ref="F119">_xlfn.XLOOKUP(1, (Лист1!$A119=Лист2!$A$2:$A$505)*(Лист1!$B119=Лист2!$B$2:$B$505),Лист2!$D$2:$D$505)</f>
        <v>14009</v>
      </c>
      <c r="G119" s="7" cm="1">
        <f t="array" ref="G119">_xlfn.XLOOKUP(1, (Лист1!$A119=Лист2!$A$2:$A$505)*(Лист1!$B119=Лист2!$B$2:$B$505),Лист2!$E$2:$E$505)</f>
        <v>12920</v>
      </c>
      <c r="H119">
        <f t="shared" si="6"/>
        <v>188697.8023255814</v>
      </c>
      <c r="I119">
        <f t="shared" si="7"/>
        <v>18</v>
      </c>
      <c r="J119">
        <f t="shared" si="8"/>
        <v>128.66666666666666</v>
      </c>
      <c r="K119">
        <f t="shared" si="9"/>
        <v>189186.65673575131</v>
      </c>
      <c r="L119">
        <f t="shared" si="10"/>
        <v>128.91428571428571</v>
      </c>
      <c r="M119">
        <f t="shared" si="11"/>
        <v>188823.26628989363</v>
      </c>
      <c r="O119" s="15"/>
      <c r="P119" s="15"/>
    </row>
    <row r="120" spans="1:16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 cm="1">
        <f t="array" ref="E120">_xlfn.XLOOKUP(1, (Лист1!$A120=Лист2!$A$2:$A$505)*(Лист1!$B120=Лист2!$B$2:$B$505),Лист2!$C$2:$C$505)</f>
        <v>129</v>
      </c>
      <c r="F120" s="7" cm="1">
        <f t="array" ref="F120">_xlfn.XLOOKUP(1, (Лист1!$A120=Лист2!$A$2:$A$505)*(Лист1!$B120=Лист2!$B$2:$B$505),Лист2!$D$2:$D$505)</f>
        <v>16459</v>
      </c>
      <c r="G120" s="7" cm="1">
        <f t="array" ref="G120">_xlfn.XLOOKUP(1, (Лист1!$A120=Лист2!$A$2:$A$505)*(Лист1!$B120=Лист2!$B$2:$B$505),Лист2!$E$2:$E$505)</f>
        <v>15355</v>
      </c>
      <c r="H120">
        <f t="shared" si="6"/>
        <v>216066.80541744188</v>
      </c>
      <c r="I120">
        <f t="shared" si="7"/>
        <v>22</v>
      </c>
      <c r="J120">
        <f t="shared" si="8"/>
        <v>129</v>
      </c>
      <c r="K120">
        <f t="shared" si="9"/>
        <v>216066.80541744188</v>
      </c>
      <c r="L120">
        <f t="shared" si="10"/>
        <v>128.91428571428571</v>
      </c>
      <c r="M120">
        <f t="shared" si="11"/>
        <v>216210.46685721411</v>
      </c>
      <c r="O120" s="15"/>
      <c r="P120" s="15"/>
    </row>
    <row r="121" spans="1:16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 cm="1">
        <f t="array" ref="E121">_xlfn.XLOOKUP(1, (Лист1!$A121=Лист2!$A$2:$A$505)*(Лист1!$B121=Лист2!$B$2:$B$505),Лист2!$C$2:$C$505)</f>
        <v>129</v>
      </c>
      <c r="F121" s="7" cm="1">
        <f t="array" ref="F121">_xlfn.XLOOKUP(1, (Лист1!$A121=Лист2!$A$2:$A$505)*(Лист1!$B121=Лист2!$B$2:$B$505),Лист2!$D$2:$D$505)</f>
        <v>17002</v>
      </c>
      <c r="G121" s="7" cm="1">
        <f t="array" ref="G121">_xlfn.XLOOKUP(1, (Лист1!$A121=Лист2!$A$2:$A$505)*(Лист1!$B121=Лист2!$B$2:$B$505),Лист2!$E$2:$E$505)</f>
        <v>15570</v>
      </c>
      <c r="H121">
        <f t="shared" si="6"/>
        <v>240723.38372093023</v>
      </c>
      <c r="I121">
        <f t="shared" si="7"/>
        <v>18</v>
      </c>
      <c r="J121">
        <f t="shared" si="8"/>
        <v>128.66666666666666</v>
      </c>
      <c r="K121">
        <f t="shared" si="9"/>
        <v>241347.01943005182</v>
      </c>
      <c r="L121">
        <f t="shared" si="10"/>
        <v>128.91428571428571</v>
      </c>
      <c r="M121">
        <f t="shared" si="11"/>
        <v>240883.43916223405</v>
      </c>
      <c r="O121" s="15"/>
      <c r="P121" s="15"/>
    </row>
    <row r="122" spans="1:16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 cm="1">
        <f t="array" ref="E122">_xlfn.XLOOKUP(1, (Лист1!$A122=Лист2!$A$2:$A$505)*(Лист1!$B122=Лист2!$B$2:$B$505),Лист2!$C$2:$C$505)</f>
        <v>129</v>
      </c>
      <c r="F122" s="7" cm="1">
        <f t="array" ref="F122">_xlfn.XLOOKUP(1, (Лист1!$A122=Лист2!$A$2:$A$505)*(Лист1!$B122=Лист2!$B$2:$B$505),Лист2!$D$2:$D$505)</f>
        <v>16387</v>
      </c>
      <c r="G122" s="7" cm="1">
        <f t="array" ref="G122">_xlfn.XLOOKUP(1, (Лист1!$A122=Лист2!$A$2:$A$505)*(Лист1!$B122=Лист2!$B$2:$B$505),Лист2!$E$2:$E$505)</f>
        <v>15322</v>
      </c>
      <c r="H122">
        <f t="shared" si="6"/>
        <v>225135.81395348837</v>
      </c>
      <c r="I122">
        <f t="shared" si="7"/>
        <v>20</v>
      </c>
      <c r="J122">
        <f t="shared" si="8"/>
        <v>129</v>
      </c>
      <c r="K122">
        <f t="shared" si="9"/>
        <v>225135.81395348837</v>
      </c>
      <c r="L122">
        <f t="shared" si="10"/>
        <v>128.91428571428571</v>
      </c>
      <c r="M122">
        <f t="shared" si="11"/>
        <v>225285.50531914894</v>
      </c>
      <c r="O122" s="15"/>
      <c r="P122" s="15"/>
    </row>
    <row r="123" spans="1:16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 cm="1">
        <f t="array" ref="E123">_xlfn.XLOOKUP(1, (Лист1!$A123=Лист2!$A$2:$A$505)*(Лист1!$B123=Лист2!$B$2:$B$505),Лист2!$C$2:$C$505)</f>
        <v>129</v>
      </c>
      <c r="F123" s="7" cm="1">
        <f t="array" ref="F123">_xlfn.XLOOKUP(1, (Лист1!$A123=Лист2!$A$2:$A$505)*(Лист1!$B123=Лист2!$B$2:$B$505),Лист2!$D$2:$D$505)</f>
        <v>16373</v>
      </c>
      <c r="G123" s="7" cm="1">
        <f t="array" ref="G123">_xlfn.XLOOKUP(1, (Лист1!$A123=Лист2!$A$2:$A$505)*(Лист1!$B123=Лист2!$B$2:$B$505),Лист2!$E$2:$E$505)</f>
        <v>15223</v>
      </c>
      <c r="H123">
        <f t="shared" si="6"/>
        <v>215913.95348837209</v>
      </c>
      <c r="I123">
        <f t="shared" si="7"/>
        <v>21</v>
      </c>
      <c r="J123">
        <f t="shared" si="8"/>
        <v>129</v>
      </c>
      <c r="K123">
        <f t="shared" si="9"/>
        <v>215913.95348837209</v>
      </c>
      <c r="L123">
        <f t="shared" si="10"/>
        <v>128.91428571428571</v>
      </c>
      <c r="M123">
        <f t="shared" si="11"/>
        <v>216057.51329787236</v>
      </c>
      <c r="O123" s="15"/>
      <c r="P123" s="15"/>
    </row>
    <row r="124" spans="1:16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 cm="1">
        <f t="array" ref="E124">_xlfn.XLOOKUP(1, (Лист1!$A124=Лист2!$A$2:$A$505)*(Лист1!$B124=Лист2!$B$2:$B$505),Лист2!$C$2:$C$505)</f>
        <v>129</v>
      </c>
      <c r="F124" s="7" cm="1">
        <f t="array" ref="F124">_xlfn.XLOOKUP(1, (Лист1!$A124=Лист2!$A$2:$A$505)*(Лист1!$B124=Лист2!$B$2:$B$505),Лист2!$D$2:$D$505)</f>
        <v>17095</v>
      </c>
      <c r="G124" s="7" cm="1">
        <f t="array" ref="G124">_xlfn.XLOOKUP(1, (Лист1!$A124=Лист2!$A$2:$A$505)*(Лист1!$B124=Лист2!$B$2:$B$505),Лист2!$E$2:$E$505)</f>
        <v>15919</v>
      </c>
      <c r="H124">
        <f t="shared" si="6"/>
        <v>227664.8962593023</v>
      </c>
      <c r="I124">
        <f t="shared" si="7"/>
        <v>21</v>
      </c>
      <c r="J124">
        <f t="shared" si="8"/>
        <v>129</v>
      </c>
      <c r="K124">
        <f t="shared" si="9"/>
        <v>227664.8962593023</v>
      </c>
      <c r="L124">
        <f t="shared" si="10"/>
        <v>128.91428571428571</v>
      </c>
      <c r="M124">
        <f t="shared" si="11"/>
        <v>227816.26919564494</v>
      </c>
      <c r="O124" s="15"/>
      <c r="P124" s="15"/>
    </row>
    <row r="125" spans="1:16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 cm="1">
        <f t="array" ref="E125">_xlfn.XLOOKUP(1, (Лист1!$A125=Лист2!$A$2:$A$505)*(Лист1!$B125=Лист2!$B$2:$B$505),Лист2!$C$2:$C$505)</f>
        <v>129</v>
      </c>
      <c r="F125" s="7" cm="1">
        <f t="array" ref="F125">_xlfn.XLOOKUP(1, (Лист1!$A125=Лист2!$A$2:$A$505)*(Лист1!$B125=Лист2!$B$2:$B$505),Лист2!$D$2:$D$505)</f>
        <v>15665</v>
      </c>
      <c r="G125" s="7" cm="1">
        <f t="array" ref="G125">_xlfn.XLOOKUP(1, (Лист1!$A125=Лист2!$A$2:$A$505)*(Лист1!$B125=Лист2!$B$2:$B$505),Лист2!$E$2:$E$505)</f>
        <v>14501</v>
      </c>
      <c r="H125">
        <f t="shared" si="6"/>
        <v>211460.78406976743</v>
      </c>
      <c r="I125">
        <f t="shared" si="7"/>
        <v>19</v>
      </c>
      <c r="J125">
        <f t="shared" si="8"/>
        <v>129</v>
      </c>
      <c r="K125">
        <f t="shared" si="9"/>
        <v>211460.78406976743</v>
      </c>
      <c r="L125">
        <f t="shared" si="10"/>
        <v>128.91428571428571</v>
      </c>
      <c r="M125">
        <f t="shared" si="11"/>
        <v>211601.38299534575</v>
      </c>
      <c r="O125" s="15"/>
      <c r="P125" s="15"/>
    </row>
    <row r="126" spans="1:16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 cm="1">
        <f t="array" ref="E126">_xlfn.XLOOKUP(1, (Лист1!$A126=Лист2!$A$2:$A$505)*(Лист1!$B126=Лист2!$B$2:$B$505),Лист2!$C$2:$C$505)</f>
        <v>128</v>
      </c>
      <c r="F126" s="7" cm="1">
        <f t="array" ref="F126">_xlfn.XLOOKUP(1, (Лист1!$A126=Лист2!$A$2:$A$505)*(Лист1!$B126=Лист2!$B$2:$B$505),Лист2!$D$2:$D$505)</f>
        <v>16450</v>
      </c>
      <c r="G126" s="7" cm="1">
        <f t="array" ref="G126">_xlfn.XLOOKUP(1, (Лист1!$A126=Лист2!$A$2:$A$505)*(Лист1!$B126=Лист2!$B$2:$B$505),Лист2!$E$2:$E$505)</f>
        <v>15320</v>
      </c>
      <c r="H126">
        <f t="shared" si="6"/>
        <v>227804.94140625</v>
      </c>
      <c r="I126">
        <f t="shared" si="7"/>
        <v>18</v>
      </c>
      <c r="J126">
        <f t="shared" si="8"/>
        <v>128.66666666666666</v>
      </c>
      <c r="K126">
        <f t="shared" si="9"/>
        <v>226624.6049222798</v>
      </c>
      <c r="L126">
        <f t="shared" si="10"/>
        <v>128.91428571428571</v>
      </c>
      <c r="M126">
        <f t="shared" si="11"/>
        <v>226189.30352393616</v>
      </c>
      <c r="O126" s="15"/>
      <c r="P126" s="15"/>
    </row>
    <row r="127" spans="1:16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 cm="1">
        <f t="array" ref="E127">_xlfn.XLOOKUP(1, (Лист1!$A127=Лист2!$A$2:$A$505)*(Лист1!$B127=Лист2!$B$2:$B$505),Лист2!$C$2:$C$505)</f>
        <v>129</v>
      </c>
      <c r="F127" s="7" cm="1">
        <f t="array" ref="F127">_xlfn.XLOOKUP(1, (Лист1!$A127=Лист2!$A$2:$A$505)*(Лист1!$B127=Лист2!$B$2:$B$505),Лист2!$D$2:$D$505)</f>
        <v>15304</v>
      </c>
      <c r="G127" s="7" cm="1">
        <f t="array" ref="G127">_xlfn.XLOOKUP(1, (Лист1!$A127=Лист2!$A$2:$A$505)*(Лист1!$B127=Лист2!$B$2:$B$505),Лист2!$E$2:$E$505)</f>
        <v>14315</v>
      </c>
      <c r="H127">
        <f t="shared" si="6"/>
        <v>205174.05813953487</v>
      </c>
      <c r="I127">
        <f t="shared" si="7"/>
        <v>20</v>
      </c>
      <c r="J127">
        <f t="shared" si="8"/>
        <v>129</v>
      </c>
      <c r="K127">
        <f t="shared" si="9"/>
        <v>205174.05813953487</v>
      </c>
      <c r="L127">
        <f t="shared" si="10"/>
        <v>128.91428571428571</v>
      </c>
      <c r="M127">
        <f t="shared" si="11"/>
        <v>205310.47706117021</v>
      </c>
      <c r="O127" s="15"/>
      <c r="P127" s="15"/>
    </row>
    <row r="128" spans="1:16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 cm="1">
        <f t="array" ref="E128">_xlfn.XLOOKUP(1, (Лист1!$A128=Лист2!$A$2:$A$505)*(Лист1!$B128=Лист2!$B$2:$B$505),Лист2!$C$2:$C$505)</f>
        <v>129</v>
      </c>
      <c r="F128" s="7" cm="1">
        <f t="array" ref="F128">_xlfn.XLOOKUP(1, (Лист1!$A128=Лист2!$A$2:$A$505)*(Лист1!$B128=Лист2!$B$2:$B$505),Лист2!$D$2:$D$505)</f>
        <v>15778</v>
      </c>
      <c r="G128" s="7" cm="1">
        <f t="array" ref="G128">_xlfn.XLOOKUP(1, (Лист1!$A128=Лист2!$A$2:$A$505)*(Лист1!$B128=Лист2!$B$2:$B$505),Лист2!$E$2:$E$505)</f>
        <v>14624</v>
      </c>
      <c r="H128">
        <f t="shared" si="6"/>
        <v>220364.34883720931</v>
      </c>
      <c r="I128">
        <f t="shared" si="7"/>
        <v>18</v>
      </c>
      <c r="J128">
        <f t="shared" si="8"/>
        <v>128.66666666666666</v>
      </c>
      <c r="K128">
        <f t="shared" si="9"/>
        <v>220935.24093264251</v>
      </c>
      <c r="L128">
        <f t="shared" si="10"/>
        <v>128.91428571428571</v>
      </c>
      <c r="M128">
        <f t="shared" si="11"/>
        <v>220510.86768617021</v>
      </c>
      <c r="O128" s="15"/>
      <c r="P128" s="15"/>
    </row>
    <row r="129" spans="1:16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 cm="1">
        <f t="array" ref="E129">_xlfn.XLOOKUP(1, (Лист1!$A129=Лист2!$A$2:$A$505)*(Лист1!$B129=Лист2!$B$2:$B$505),Лист2!$C$2:$C$505)</f>
        <v>129</v>
      </c>
      <c r="F129" s="7" cm="1">
        <f t="array" ref="F129">_xlfn.XLOOKUP(1, (Лист1!$A129=Лист2!$A$2:$A$505)*(Лист1!$B129=Лист2!$B$2:$B$505),Лист2!$D$2:$D$505)</f>
        <v>16376</v>
      </c>
      <c r="G129" s="7" cm="1">
        <f t="array" ref="G129">_xlfn.XLOOKUP(1, (Лист1!$A129=Лист2!$A$2:$A$505)*(Лист1!$B129=Лист2!$B$2:$B$505),Лист2!$E$2:$E$505)</f>
        <v>15197</v>
      </c>
      <c r="H129">
        <f t="shared" si="6"/>
        <v>223029.53570232558</v>
      </c>
      <c r="I129">
        <f t="shared" si="7"/>
        <v>19</v>
      </c>
      <c r="J129">
        <f t="shared" si="8"/>
        <v>129</v>
      </c>
      <c r="K129">
        <f t="shared" si="9"/>
        <v>223029.53570232558</v>
      </c>
      <c r="L129">
        <f t="shared" si="10"/>
        <v>128.91428571428571</v>
      </c>
      <c r="M129">
        <f t="shared" si="11"/>
        <v>223177.82661702129</v>
      </c>
      <c r="O129" s="15"/>
      <c r="P129" s="15"/>
    </row>
    <row r="130" spans="1:16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 cm="1">
        <f t="array" ref="E130">_xlfn.XLOOKUP(1, (Лист1!$A130=Лист2!$A$2:$A$505)*(Лист1!$B130=Лист2!$B$2:$B$505),Лист2!$C$2:$C$505)</f>
        <v>129</v>
      </c>
      <c r="F130" s="7" cm="1">
        <f t="array" ref="F130">_xlfn.XLOOKUP(1, (Лист1!$A130=Лист2!$A$2:$A$505)*(Лист1!$B130=Лист2!$B$2:$B$505),Лист2!$D$2:$D$505)</f>
        <v>19856</v>
      </c>
      <c r="G130" s="7" cm="1">
        <f t="array" ref="G130">_xlfn.XLOOKUP(1, (Лист1!$A130=Лист2!$A$2:$A$505)*(Лист1!$B130=Лист2!$B$2:$B$505),Лист2!$E$2:$E$505)</f>
        <v>18325</v>
      </c>
      <c r="H130">
        <f t="shared" si="6"/>
        <v>272123.46288023255</v>
      </c>
      <c r="I130">
        <f t="shared" si="7"/>
        <v>21</v>
      </c>
      <c r="J130">
        <f t="shared" si="8"/>
        <v>129</v>
      </c>
      <c r="K130">
        <f t="shared" si="9"/>
        <v>272123.46288023255</v>
      </c>
      <c r="L130">
        <f t="shared" si="10"/>
        <v>128.91428571428571</v>
      </c>
      <c r="M130">
        <f t="shared" si="11"/>
        <v>272304.39603374334</v>
      </c>
      <c r="O130" s="15"/>
      <c r="P130" s="15"/>
    </row>
    <row r="131" spans="1:16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 cm="1">
        <f t="array" ref="E131">_xlfn.XLOOKUP(1, (Лист1!$A131=Лист2!$A$2:$A$505)*(Лист1!$B131=Лист2!$B$2:$B$505),Лист2!$C$2:$C$505)</f>
        <v>129</v>
      </c>
      <c r="F131" s="7" cm="1">
        <f t="array" ref="F131">_xlfn.XLOOKUP(1, (Лист1!$A131=Лист2!$A$2:$A$505)*(Лист1!$B131=Лист2!$B$2:$B$505),Лист2!$D$2:$D$505)</f>
        <v>15822</v>
      </c>
      <c r="G131" s="7" cm="1">
        <f t="array" ref="G131">_xlfn.XLOOKUP(1, (Лист1!$A131=Лист2!$A$2:$A$505)*(Лист1!$B131=Лист2!$B$2:$B$505),Лист2!$E$2:$E$505)</f>
        <v>14753</v>
      </c>
      <c r="H131">
        <f t="shared" ref="H131:H194" si="12">$D131/$E131</f>
        <v>210588.47674418605</v>
      </c>
      <c r="I131">
        <f t="shared" ref="I131:I194" si="13">WEEKNUM($A131,2)</f>
        <v>22</v>
      </c>
      <c r="J131">
        <f t="shared" ref="J131:J194" si="14">AVERAGEIFS($E$2:$E$505,$I$2:$I$505,$I131,$B$2:$B$505,$B131)</f>
        <v>129</v>
      </c>
      <c r="K131">
        <f t="shared" ref="K131:K194" si="15">$D131/$J131</f>
        <v>210588.47674418605</v>
      </c>
      <c r="L131">
        <f t="shared" ref="L131:L194" si="16">AVERAGEIFS($E$2:$E$505,$B$2:$B$505,$B131)</f>
        <v>128.91428571428571</v>
      </c>
      <c r="M131">
        <f t="shared" ref="M131:M194" si="17">$D131/$L131</f>
        <v>210728.49567819148</v>
      </c>
      <c r="O131" s="15"/>
      <c r="P131" s="15"/>
    </row>
    <row r="132" spans="1:16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 cm="1">
        <f t="array" ref="E132">_xlfn.XLOOKUP(1, (Лист1!$A132=Лист2!$A$2:$A$505)*(Лист1!$B132=Лист2!$B$2:$B$505),Лист2!$C$2:$C$505)</f>
        <v>129</v>
      </c>
      <c r="F132" s="7" cm="1">
        <f t="array" ref="F132">_xlfn.XLOOKUP(1, (Лист1!$A132=Лист2!$A$2:$A$505)*(Лист1!$B132=Лист2!$B$2:$B$505),Лист2!$D$2:$D$505)</f>
        <v>18042</v>
      </c>
      <c r="G132" s="7" cm="1">
        <f t="array" ref="G132">_xlfn.XLOOKUP(1, (Лист1!$A132=Лист2!$A$2:$A$505)*(Лист1!$B132=Лист2!$B$2:$B$505),Лист2!$E$2:$E$505)</f>
        <v>16631</v>
      </c>
      <c r="H132">
        <f t="shared" si="12"/>
        <v>251309.13953488372</v>
      </c>
      <c r="I132">
        <f t="shared" si="13"/>
        <v>18</v>
      </c>
      <c r="J132">
        <f t="shared" si="14"/>
        <v>128.66666666666666</v>
      </c>
      <c r="K132">
        <f t="shared" si="15"/>
        <v>251960.1994818653</v>
      </c>
      <c r="L132">
        <f t="shared" si="16"/>
        <v>128.91428571428571</v>
      </c>
      <c r="M132">
        <f t="shared" si="17"/>
        <v>251476.23337765958</v>
      </c>
      <c r="O132" s="15"/>
      <c r="P132" s="15"/>
    </row>
    <row r="133" spans="1:16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 cm="1">
        <f t="array" ref="E133">_xlfn.XLOOKUP(1, (Лист1!$A133=Лист2!$A$2:$A$505)*(Лист1!$B133=Лист2!$B$2:$B$505),Лист2!$C$2:$C$505)</f>
        <v>129</v>
      </c>
      <c r="F133" s="7" cm="1">
        <f t="array" ref="F133">_xlfn.XLOOKUP(1, (Лист1!$A133=Лист2!$A$2:$A$505)*(Лист1!$B133=Лист2!$B$2:$B$505),Лист2!$D$2:$D$505)</f>
        <v>16437</v>
      </c>
      <c r="G133" s="7" cm="1">
        <f t="array" ref="G133">_xlfn.XLOOKUP(1, (Лист1!$A133=Лист2!$A$2:$A$505)*(Лист1!$B133=Лист2!$B$2:$B$505),Лист2!$E$2:$E$505)</f>
        <v>15285</v>
      </c>
      <c r="H133">
        <f t="shared" si="12"/>
        <v>228962.6054732558</v>
      </c>
      <c r="I133">
        <f t="shared" si="13"/>
        <v>19</v>
      </c>
      <c r="J133">
        <f t="shared" si="14"/>
        <v>129</v>
      </c>
      <c r="K133">
        <f t="shared" si="15"/>
        <v>228962.6054732558</v>
      </c>
      <c r="L133">
        <f t="shared" si="16"/>
        <v>128.91428571428571</v>
      </c>
      <c r="M133">
        <f t="shared" si="17"/>
        <v>229114.84124817155</v>
      </c>
      <c r="O133" s="15"/>
      <c r="P133" s="15"/>
    </row>
    <row r="134" spans="1:16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 cm="1">
        <f t="array" ref="E134">_xlfn.XLOOKUP(1, (Лист1!$A134=Лист2!$A$2:$A$505)*(Лист1!$B134=Лист2!$B$2:$B$505),Лист2!$C$2:$C$505)</f>
        <v>129</v>
      </c>
      <c r="F134" s="7" cm="1">
        <f t="array" ref="F134">_xlfn.XLOOKUP(1, (Лист1!$A134=Лист2!$A$2:$A$505)*(Лист1!$B134=Лист2!$B$2:$B$505),Лист2!$D$2:$D$505)</f>
        <v>20452</v>
      </c>
      <c r="G134" s="7" cm="1">
        <f t="array" ref="G134">_xlfn.XLOOKUP(1, (Лист1!$A134=Лист2!$A$2:$A$505)*(Лист1!$B134=Лист2!$B$2:$B$505),Лист2!$E$2:$E$505)</f>
        <v>18857</v>
      </c>
      <c r="H134">
        <f t="shared" si="12"/>
        <v>295283.38372093026</v>
      </c>
      <c r="I134">
        <f t="shared" si="13"/>
        <v>19</v>
      </c>
      <c r="J134">
        <f t="shared" si="14"/>
        <v>129</v>
      </c>
      <c r="K134">
        <f t="shared" si="15"/>
        <v>295283.38372093026</v>
      </c>
      <c r="L134">
        <f t="shared" si="16"/>
        <v>128.91428571428571</v>
      </c>
      <c r="M134">
        <f t="shared" si="17"/>
        <v>295479.71575797873</v>
      </c>
      <c r="O134" s="15"/>
      <c r="P134" s="15"/>
    </row>
    <row r="135" spans="1:16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 cm="1">
        <f t="array" ref="E135">_xlfn.XLOOKUP(1, (Лист1!$A135=Лист2!$A$2:$A$505)*(Лист1!$B135=Лист2!$B$2:$B$505),Лист2!$C$2:$C$505)</f>
        <v>129</v>
      </c>
      <c r="F135" s="7" cm="1">
        <f t="array" ref="F135">_xlfn.XLOOKUP(1, (Лист1!$A135=Лист2!$A$2:$A$505)*(Лист1!$B135=Лист2!$B$2:$B$505),Лист2!$D$2:$D$505)</f>
        <v>14582</v>
      </c>
      <c r="G135" s="7" cm="1">
        <f t="array" ref="G135">_xlfn.XLOOKUP(1, (Лист1!$A135=Лист2!$A$2:$A$505)*(Лист1!$B135=Лист2!$B$2:$B$505),Лист2!$E$2:$E$505)</f>
        <v>13512</v>
      </c>
      <c r="H135">
        <f t="shared" si="12"/>
        <v>196319.93023255814</v>
      </c>
      <c r="I135">
        <f t="shared" si="13"/>
        <v>19</v>
      </c>
      <c r="J135">
        <f t="shared" si="14"/>
        <v>129</v>
      </c>
      <c r="K135">
        <f t="shared" si="15"/>
        <v>196319.93023255814</v>
      </c>
      <c r="L135">
        <f t="shared" si="16"/>
        <v>128.91428571428571</v>
      </c>
      <c r="M135">
        <f t="shared" si="17"/>
        <v>196450.46210106384</v>
      </c>
      <c r="O135" s="15"/>
      <c r="P135" s="15"/>
    </row>
    <row r="136" spans="1:16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 cm="1">
        <f t="array" ref="E136">_xlfn.XLOOKUP(1, (Лист1!$A136=Лист2!$A$2:$A$505)*(Лист1!$B136=Лист2!$B$2:$B$505),Лист2!$C$2:$C$505)</f>
        <v>129</v>
      </c>
      <c r="F136" s="7" cm="1">
        <f t="array" ref="F136">_xlfn.XLOOKUP(1, (Лист1!$A136=Лист2!$A$2:$A$505)*(Лист1!$B136=Лист2!$B$2:$B$505),Лист2!$D$2:$D$505)</f>
        <v>16432</v>
      </c>
      <c r="G136" s="7" cm="1">
        <f t="array" ref="G136">_xlfn.XLOOKUP(1, (Лист1!$A136=Лист2!$A$2:$A$505)*(Лист1!$B136=Лист2!$B$2:$B$505),Лист2!$E$2:$E$505)</f>
        <v>15345</v>
      </c>
      <c r="H136">
        <f t="shared" si="12"/>
        <v>218515.76744186046</v>
      </c>
      <c r="I136">
        <f t="shared" si="13"/>
        <v>21</v>
      </c>
      <c r="J136">
        <f t="shared" si="14"/>
        <v>129</v>
      </c>
      <c r="K136">
        <f t="shared" si="15"/>
        <v>218515.76744186046</v>
      </c>
      <c r="L136">
        <f t="shared" si="16"/>
        <v>128.91428571428571</v>
      </c>
      <c r="M136">
        <f t="shared" si="17"/>
        <v>218661.05718085106</v>
      </c>
      <c r="O136" s="15"/>
      <c r="P136" s="15"/>
    </row>
    <row r="137" spans="1:16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 cm="1">
        <f t="array" ref="E137">_xlfn.XLOOKUP(1, (Лист1!$A137=Лист2!$A$2:$A$505)*(Лист1!$B137=Лист2!$B$2:$B$505),Лист2!$C$2:$C$505)</f>
        <v>125</v>
      </c>
      <c r="F137" s="7" cm="1">
        <f t="array" ref="F137">_xlfn.XLOOKUP(1, (Лист1!$A137=Лист2!$A$2:$A$505)*(Лист1!$B137=Лист2!$B$2:$B$505),Лист2!$D$2:$D$505)</f>
        <v>22291</v>
      </c>
      <c r="G137" s="7" cm="1">
        <f t="array" ref="G137">_xlfn.XLOOKUP(1, (Лист1!$A137=Лист2!$A$2:$A$505)*(Лист1!$B137=Лист2!$B$2:$B$505),Лист2!$E$2:$E$505)</f>
        <v>20635</v>
      </c>
      <c r="H137">
        <f t="shared" si="12"/>
        <v>338589.04800000001</v>
      </c>
      <c r="I137">
        <f t="shared" si="13"/>
        <v>20</v>
      </c>
      <c r="J137">
        <f t="shared" si="14"/>
        <v>125</v>
      </c>
      <c r="K137">
        <f t="shared" si="15"/>
        <v>338589.04800000001</v>
      </c>
      <c r="L137">
        <f t="shared" si="16"/>
        <v>124.74285714285715</v>
      </c>
      <c r="M137">
        <f t="shared" si="17"/>
        <v>339287.00984883186</v>
      </c>
      <c r="O137" s="15"/>
      <c r="P137" s="15"/>
    </row>
    <row r="138" spans="1:16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 cm="1">
        <f t="array" ref="E138">_xlfn.XLOOKUP(1, (Лист1!$A138=Лист2!$A$2:$A$505)*(Лист1!$B138=Лист2!$B$2:$B$505),Лист2!$C$2:$C$505)</f>
        <v>125</v>
      </c>
      <c r="F138" s="7" cm="1">
        <f t="array" ref="F138">_xlfn.XLOOKUP(1, (Лист1!$A138=Лист2!$A$2:$A$505)*(Лист1!$B138=Лист2!$B$2:$B$505),Лист2!$D$2:$D$505)</f>
        <v>20771</v>
      </c>
      <c r="G138" s="7" cm="1">
        <f t="array" ref="G138">_xlfn.XLOOKUP(1, (Лист1!$A138=Лист2!$A$2:$A$505)*(Лист1!$B138=Лист2!$B$2:$B$505),Лист2!$E$2:$E$505)</f>
        <v>19338</v>
      </c>
      <c r="H138">
        <f t="shared" si="12"/>
        <v>296185.94400000002</v>
      </c>
      <c r="I138">
        <f t="shared" si="13"/>
        <v>21</v>
      </c>
      <c r="J138">
        <f t="shared" si="14"/>
        <v>125</v>
      </c>
      <c r="K138">
        <f t="shared" si="15"/>
        <v>296185.94400000002</v>
      </c>
      <c r="L138">
        <f t="shared" si="16"/>
        <v>124.74285714285715</v>
      </c>
      <c r="M138">
        <f t="shared" si="17"/>
        <v>296796.49679340358</v>
      </c>
      <c r="O138" s="15"/>
      <c r="P138" s="15"/>
    </row>
    <row r="139" spans="1:16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 cm="1">
        <f t="array" ref="E139">_xlfn.XLOOKUP(1, (Лист1!$A139=Лист2!$A$2:$A$505)*(Лист1!$B139=Лист2!$B$2:$B$505),Лист2!$C$2:$C$505)</f>
        <v>125</v>
      </c>
      <c r="F139" s="7" cm="1">
        <f t="array" ref="F139">_xlfn.XLOOKUP(1, (Лист1!$A139=Лист2!$A$2:$A$505)*(Лист1!$B139=Лист2!$B$2:$B$505),Лист2!$D$2:$D$505)</f>
        <v>20079</v>
      </c>
      <c r="G139" s="7" cm="1">
        <f t="array" ref="G139">_xlfn.XLOOKUP(1, (Лист1!$A139=Лист2!$A$2:$A$505)*(Лист1!$B139=Лист2!$B$2:$B$505),Лист2!$E$2:$E$505)</f>
        <v>18721</v>
      </c>
      <c r="H139">
        <f t="shared" si="12"/>
        <v>294676.53600000002</v>
      </c>
      <c r="I139">
        <f t="shared" si="13"/>
        <v>20</v>
      </c>
      <c r="J139">
        <f t="shared" si="14"/>
        <v>125</v>
      </c>
      <c r="K139">
        <f t="shared" si="15"/>
        <v>294676.53600000002</v>
      </c>
      <c r="L139">
        <f t="shared" si="16"/>
        <v>124.74285714285715</v>
      </c>
      <c r="M139">
        <f t="shared" si="17"/>
        <v>295283.97732478241</v>
      </c>
      <c r="O139" s="15"/>
      <c r="P139" s="15"/>
    </row>
    <row r="140" spans="1:16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 cm="1">
        <f t="array" ref="E140">_xlfn.XLOOKUP(1, (Лист1!$A140=Лист2!$A$2:$A$505)*(Лист1!$B140=Лист2!$B$2:$B$505),Лист2!$C$2:$C$505)</f>
        <v>125</v>
      </c>
      <c r="F140" s="7" cm="1">
        <f t="array" ref="F140">_xlfn.XLOOKUP(1, (Лист1!$A140=Лист2!$A$2:$A$505)*(Лист1!$B140=Лист2!$B$2:$B$505),Лист2!$D$2:$D$505)</f>
        <v>20132</v>
      </c>
      <c r="G140" s="7" cm="1">
        <f t="array" ref="G140">_xlfn.XLOOKUP(1, (Лист1!$A140=Лист2!$A$2:$A$505)*(Лист1!$B140=Лист2!$B$2:$B$505),Лист2!$E$2:$E$505)</f>
        <v>18617</v>
      </c>
      <c r="H140">
        <f t="shared" si="12"/>
        <v>309547.41600000003</v>
      </c>
      <c r="I140">
        <f t="shared" si="13"/>
        <v>19</v>
      </c>
      <c r="J140">
        <f t="shared" si="14"/>
        <v>125</v>
      </c>
      <c r="K140">
        <f t="shared" si="15"/>
        <v>309547.41600000003</v>
      </c>
      <c r="L140">
        <f t="shared" si="16"/>
        <v>124.74285714285715</v>
      </c>
      <c r="M140">
        <f t="shared" si="17"/>
        <v>310185.51191021531</v>
      </c>
      <c r="O140" s="15"/>
      <c r="P140" s="15"/>
    </row>
    <row r="141" spans="1:16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 cm="1">
        <f t="array" ref="E141">_xlfn.XLOOKUP(1, (Лист1!$A141=Лист2!$A$2:$A$505)*(Лист1!$B141=Лист2!$B$2:$B$505),Лист2!$C$2:$C$505)</f>
        <v>125</v>
      </c>
      <c r="F141" s="7" cm="1">
        <f t="array" ref="F141">_xlfn.XLOOKUP(1, (Лист1!$A141=Лист2!$A$2:$A$505)*(Лист1!$B141=Лист2!$B$2:$B$505),Лист2!$D$2:$D$505)</f>
        <v>20495</v>
      </c>
      <c r="G141" s="7" cm="1">
        <f t="array" ref="G141">_xlfn.XLOOKUP(1, (Лист1!$A141=Лист2!$A$2:$A$505)*(Лист1!$B141=Лист2!$B$2:$B$505),Лист2!$E$2:$E$505)</f>
        <v>18964</v>
      </c>
      <c r="H141">
        <f t="shared" si="12"/>
        <v>307255.63199999998</v>
      </c>
      <c r="I141">
        <f t="shared" si="13"/>
        <v>19</v>
      </c>
      <c r="J141">
        <f t="shared" si="14"/>
        <v>125</v>
      </c>
      <c r="K141">
        <f t="shared" si="15"/>
        <v>307255.63199999998</v>
      </c>
      <c r="L141">
        <f t="shared" si="16"/>
        <v>124.74285714285715</v>
      </c>
      <c r="M141">
        <f t="shared" si="17"/>
        <v>307889.00366468163</v>
      </c>
      <c r="O141" s="15"/>
      <c r="P141" s="15"/>
    </row>
    <row r="142" spans="1:16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 cm="1">
        <f t="array" ref="E142">_xlfn.XLOOKUP(1, (Лист1!$A142=Лист2!$A$2:$A$505)*(Лист1!$B142=Лист2!$B$2:$B$505),Лист2!$C$2:$C$505)</f>
        <v>125</v>
      </c>
      <c r="F142" s="7" cm="1">
        <f t="array" ref="F142">_xlfn.XLOOKUP(1, (Лист1!$A142=Лист2!$A$2:$A$505)*(Лист1!$B142=Лист2!$B$2:$B$505),Лист2!$D$2:$D$505)</f>
        <v>21863</v>
      </c>
      <c r="G142" s="7" cm="1">
        <f t="array" ref="G142">_xlfn.XLOOKUP(1, (Лист1!$A142=Лист2!$A$2:$A$505)*(Лист1!$B142=Лист2!$B$2:$B$505),Лист2!$E$2:$E$505)</f>
        <v>20160</v>
      </c>
      <c r="H142">
        <f t="shared" si="12"/>
        <v>332475.07199999999</v>
      </c>
      <c r="I142">
        <f t="shared" si="13"/>
        <v>18</v>
      </c>
      <c r="J142">
        <f t="shared" si="14"/>
        <v>125</v>
      </c>
      <c r="K142">
        <f t="shared" si="15"/>
        <v>332475.07199999999</v>
      </c>
      <c r="L142">
        <f t="shared" si="16"/>
        <v>124.74285714285715</v>
      </c>
      <c r="M142">
        <f t="shared" si="17"/>
        <v>333160.43060009158</v>
      </c>
      <c r="O142" s="15"/>
      <c r="P142" s="15"/>
    </row>
    <row r="143" spans="1:16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 cm="1">
        <f t="array" ref="E143">_xlfn.XLOOKUP(1, (Лист1!$A143=Лист2!$A$2:$A$505)*(Лист1!$B143=Лист2!$B$2:$B$505),Лист2!$C$2:$C$505)</f>
        <v>125</v>
      </c>
      <c r="F143" s="7" cm="1">
        <f t="array" ref="F143">_xlfn.XLOOKUP(1, (Лист1!$A143=Лист2!$A$2:$A$505)*(Лист1!$B143=Лист2!$B$2:$B$505),Лист2!$D$2:$D$505)</f>
        <v>16932</v>
      </c>
      <c r="G143" s="7" cm="1">
        <f t="array" ref="G143">_xlfn.XLOOKUP(1, (Лист1!$A143=Лист2!$A$2:$A$505)*(Лист1!$B143=Лист2!$B$2:$B$505),Лист2!$E$2:$E$505)</f>
        <v>15601</v>
      </c>
      <c r="H143">
        <f t="shared" si="12"/>
        <v>254749.89600000001</v>
      </c>
      <c r="I143">
        <f t="shared" si="13"/>
        <v>18</v>
      </c>
      <c r="J143">
        <f t="shared" si="14"/>
        <v>125</v>
      </c>
      <c r="K143">
        <f t="shared" si="15"/>
        <v>254749.89600000001</v>
      </c>
      <c r="L143">
        <f t="shared" si="16"/>
        <v>124.74285714285715</v>
      </c>
      <c r="M143">
        <f t="shared" si="17"/>
        <v>255275.03321117727</v>
      </c>
      <c r="O143" s="15"/>
      <c r="P143" s="15"/>
    </row>
    <row r="144" spans="1:16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 cm="1">
        <f t="array" ref="E144">_xlfn.XLOOKUP(1, (Лист1!$A144=Лист2!$A$2:$A$505)*(Лист1!$B144=Лист2!$B$2:$B$505),Лист2!$C$2:$C$505)</f>
        <v>124</v>
      </c>
      <c r="F144" s="7" cm="1">
        <f t="array" ref="F144">_xlfn.XLOOKUP(1, (Лист1!$A144=Лист2!$A$2:$A$505)*(Лист1!$B144=Лист2!$B$2:$B$505),Лист2!$D$2:$D$505)</f>
        <v>21153</v>
      </c>
      <c r="G144" s="7" cm="1">
        <f t="array" ref="G144">_xlfn.XLOOKUP(1, (Лист1!$A144=Лист2!$A$2:$A$505)*(Лист1!$B144=Лист2!$B$2:$B$505),Лист2!$E$2:$E$505)</f>
        <v>19673</v>
      </c>
      <c r="H144">
        <f t="shared" si="12"/>
        <v>309402.90725806454</v>
      </c>
      <c r="I144">
        <f t="shared" si="13"/>
        <v>22</v>
      </c>
      <c r="J144">
        <f t="shared" si="14"/>
        <v>124</v>
      </c>
      <c r="K144">
        <f t="shared" si="15"/>
        <v>309402.90725806454</v>
      </c>
      <c r="L144">
        <f t="shared" si="16"/>
        <v>124.74285714285715</v>
      </c>
      <c r="M144">
        <f t="shared" si="17"/>
        <v>307560.37963811267</v>
      </c>
      <c r="O144" s="15"/>
      <c r="P144" s="15"/>
    </row>
    <row r="145" spans="1:16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 cm="1">
        <f t="array" ref="E145">_xlfn.XLOOKUP(1, (Лист1!$A145=Лист2!$A$2:$A$505)*(Лист1!$B145=Лист2!$B$2:$B$505),Лист2!$C$2:$C$505)</f>
        <v>125</v>
      </c>
      <c r="F145" s="7" cm="1">
        <f t="array" ref="F145">_xlfn.XLOOKUP(1, (Лист1!$A145=Лист2!$A$2:$A$505)*(Лист1!$B145=Лист2!$B$2:$B$505),Лист2!$D$2:$D$505)</f>
        <v>20602</v>
      </c>
      <c r="G145" s="7" cm="1">
        <f t="array" ref="G145">_xlfn.XLOOKUP(1, (Лист1!$A145=Лист2!$A$2:$A$505)*(Лист1!$B145=Лист2!$B$2:$B$505),Лист2!$E$2:$E$505)</f>
        <v>18845</v>
      </c>
      <c r="H145">
        <f t="shared" si="12"/>
        <v>320617.54800000001</v>
      </c>
      <c r="I145">
        <f t="shared" si="13"/>
        <v>18</v>
      </c>
      <c r="J145">
        <f t="shared" si="14"/>
        <v>125</v>
      </c>
      <c r="K145">
        <f t="shared" si="15"/>
        <v>320617.54800000001</v>
      </c>
      <c r="L145">
        <f t="shared" si="16"/>
        <v>124.74285714285715</v>
      </c>
      <c r="M145">
        <f t="shared" si="17"/>
        <v>321278.46369674761</v>
      </c>
      <c r="O145" s="15"/>
      <c r="P145" s="15"/>
    </row>
    <row r="146" spans="1:16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 cm="1">
        <f t="array" ref="E146">_xlfn.XLOOKUP(1, (Лист1!$A146=Лист2!$A$2:$A$505)*(Лист1!$B146=Лист2!$B$2:$B$505),Лист2!$C$2:$C$505)</f>
        <v>125</v>
      </c>
      <c r="F146" s="7" cm="1">
        <f t="array" ref="F146">_xlfn.XLOOKUP(1, (Лист1!$A146=Лист2!$A$2:$A$505)*(Лист1!$B146=Лист2!$B$2:$B$505),Лист2!$D$2:$D$505)</f>
        <v>21106</v>
      </c>
      <c r="G146" s="7" cm="1">
        <f t="array" ref="G146">_xlfn.XLOOKUP(1, (Лист1!$A146=Лист2!$A$2:$A$505)*(Лист1!$B146=Лист2!$B$2:$B$505),Лист2!$E$2:$E$505)</f>
        <v>19651</v>
      </c>
      <c r="H146">
        <f t="shared" si="12"/>
        <v>316628.61599999998</v>
      </c>
      <c r="I146">
        <f t="shared" si="13"/>
        <v>20</v>
      </c>
      <c r="J146">
        <f t="shared" si="14"/>
        <v>125</v>
      </c>
      <c r="K146">
        <f t="shared" si="15"/>
        <v>316628.61599999998</v>
      </c>
      <c r="L146">
        <f t="shared" si="16"/>
        <v>124.74285714285715</v>
      </c>
      <c r="M146">
        <f t="shared" si="17"/>
        <v>317281.30897846998</v>
      </c>
      <c r="O146" s="15"/>
      <c r="P146" s="15"/>
    </row>
    <row r="147" spans="1:16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 cm="1">
        <f t="array" ref="E147">_xlfn.XLOOKUP(1, (Лист1!$A147=Лист2!$A$2:$A$505)*(Лист1!$B147=Лист2!$B$2:$B$505),Лист2!$C$2:$C$505)</f>
        <v>125</v>
      </c>
      <c r="F147" s="7" cm="1">
        <f t="array" ref="F147">_xlfn.XLOOKUP(1, (Лист1!$A147=Лист2!$A$2:$A$505)*(Лист1!$B147=Лист2!$B$2:$B$505),Лист2!$D$2:$D$505)</f>
        <v>20911</v>
      </c>
      <c r="G147" s="7" cm="1">
        <f t="array" ref="G147">_xlfn.XLOOKUP(1, (Лист1!$A147=Лист2!$A$2:$A$505)*(Лист1!$B147=Лист2!$B$2:$B$505),Лист2!$E$2:$E$505)</f>
        <v>19358</v>
      </c>
      <c r="H147">
        <f t="shared" si="12"/>
        <v>303217.25255999999</v>
      </c>
      <c r="I147">
        <f t="shared" si="13"/>
        <v>21</v>
      </c>
      <c r="J147">
        <f t="shared" si="14"/>
        <v>125</v>
      </c>
      <c r="K147">
        <f t="shared" si="15"/>
        <v>303217.25255999999</v>
      </c>
      <c r="L147">
        <f t="shared" si="16"/>
        <v>124.74285714285715</v>
      </c>
      <c r="M147">
        <f t="shared" si="17"/>
        <v>303842.29957627115</v>
      </c>
      <c r="O147" s="15"/>
      <c r="P147" s="15"/>
    </row>
    <row r="148" spans="1:16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 cm="1">
        <f t="array" ref="E148">_xlfn.XLOOKUP(1, (Лист1!$A148=Лист2!$A$2:$A$505)*(Лист1!$B148=Лист2!$B$2:$B$505),Лист2!$C$2:$C$505)</f>
        <v>125</v>
      </c>
      <c r="F148" s="7" cm="1">
        <f t="array" ref="F148">_xlfn.XLOOKUP(1, (Лист1!$A148=Лист2!$A$2:$A$505)*(Лист1!$B148=Лист2!$B$2:$B$505),Лист2!$D$2:$D$505)</f>
        <v>21674</v>
      </c>
      <c r="G148" s="7" cm="1">
        <f t="array" ref="G148">_xlfn.XLOOKUP(1, (Лист1!$A148=Лист2!$A$2:$A$505)*(Лист1!$B148=Лист2!$B$2:$B$505),Лист2!$E$2:$E$505)</f>
        <v>20155</v>
      </c>
      <c r="H148">
        <f t="shared" si="12"/>
        <v>317114.47200000001</v>
      </c>
      <c r="I148">
        <f t="shared" si="13"/>
        <v>21</v>
      </c>
      <c r="J148">
        <f t="shared" si="14"/>
        <v>125</v>
      </c>
      <c r="K148">
        <f t="shared" si="15"/>
        <v>317114.47200000001</v>
      </c>
      <c r="L148">
        <f t="shared" si="16"/>
        <v>124.74285714285715</v>
      </c>
      <c r="M148">
        <f t="shared" si="17"/>
        <v>317768.16651397158</v>
      </c>
      <c r="O148" s="15"/>
      <c r="P148" s="15"/>
    </row>
    <row r="149" spans="1:16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 cm="1">
        <f t="array" ref="E149">_xlfn.XLOOKUP(1, (Лист1!$A149=Лист2!$A$2:$A$505)*(Лист1!$B149=Лист2!$B$2:$B$505),Лист2!$C$2:$C$505)</f>
        <v>125</v>
      </c>
      <c r="F149" s="7" cm="1">
        <f t="array" ref="F149">_xlfn.XLOOKUP(1, (Лист1!$A149=Лист2!$A$2:$A$505)*(Лист1!$B149=Лист2!$B$2:$B$505),Лист2!$D$2:$D$505)</f>
        <v>18944</v>
      </c>
      <c r="G149" s="7" cm="1">
        <f t="array" ref="G149">_xlfn.XLOOKUP(1, (Лист1!$A149=Лист2!$A$2:$A$505)*(Лист1!$B149=Лист2!$B$2:$B$505),Лист2!$E$2:$E$505)</f>
        <v>17541</v>
      </c>
      <c r="H149">
        <f t="shared" si="12"/>
        <v>285373.87199999997</v>
      </c>
      <c r="I149">
        <f t="shared" si="13"/>
        <v>19</v>
      </c>
      <c r="J149">
        <f t="shared" si="14"/>
        <v>125</v>
      </c>
      <c r="K149">
        <f t="shared" si="15"/>
        <v>285373.87199999997</v>
      </c>
      <c r="L149">
        <f t="shared" si="16"/>
        <v>124.74285714285715</v>
      </c>
      <c r="M149">
        <f t="shared" si="17"/>
        <v>285962.13696747593</v>
      </c>
      <c r="O149" s="15"/>
      <c r="P149" s="15"/>
    </row>
    <row r="150" spans="1:16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 cm="1">
        <f t="array" ref="E150">_xlfn.XLOOKUP(1, (Лист1!$A150=Лист2!$A$2:$A$505)*(Лист1!$B150=Лист2!$B$2:$B$505),Лист2!$C$2:$C$505)</f>
        <v>125</v>
      </c>
      <c r="F150" s="7" cm="1">
        <f t="array" ref="F150">_xlfn.XLOOKUP(1, (Лист1!$A150=Лист2!$A$2:$A$505)*(Лист1!$B150=Лист2!$B$2:$B$505),Лист2!$D$2:$D$505)</f>
        <v>20914</v>
      </c>
      <c r="G150" s="7" cm="1">
        <f t="array" ref="G150">_xlfn.XLOOKUP(1, (Лист1!$A150=Лист2!$A$2:$A$505)*(Лист1!$B150=Лист2!$B$2:$B$505),Лист2!$E$2:$E$505)</f>
        <v>19479</v>
      </c>
      <c r="H150">
        <f t="shared" si="12"/>
        <v>319344.228</v>
      </c>
      <c r="I150">
        <f t="shared" si="13"/>
        <v>18</v>
      </c>
      <c r="J150">
        <f t="shared" si="14"/>
        <v>125</v>
      </c>
      <c r="K150">
        <f t="shared" si="15"/>
        <v>319344.228</v>
      </c>
      <c r="L150">
        <f t="shared" si="16"/>
        <v>124.74285714285715</v>
      </c>
      <c r="M150">
        <f t="shared" si="17"/>
        <v>320002.51889601466</v>
      </c>
      <c r="O150" s="15"/>
      <c r="P150" s="15"/>
    </row>
    <row r="151" spans="1:16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 cm="1">
        <f t="array" ref="E151">_xlfn.XLOOKUP(1, (Лист1!$A151=Лист2!$A$2:$A$505)*(Лист1!$B151=Лист2!$B$2:$B$505),Лист2!$C$2:$C$505)</f>
        <v>125</v>
      </c>
      <c r="F151" s="7" cm="1">
        <f t="array" ref="F151">_xlfn.XLOOKUP(1, (Лист1!$A151=Лист2!$A$2:$A$505)*(Лист1!$B151=Лист2!$B$2:$B$505),Лист2!$D$2:$D$505)</f>
        <v>19965</v>
      </c>
      <c r="G151" s="7" cm="1">
        <f t="array" ref="G151">_xlfn.XLOOKUP(1, (Лист1!$A151=Лист2!$A$2:$A$505)*(Лист1!$B151=Лист2!$B$2:$B$505),Лист2!$E$2:$E$505)</f>
        <v>18573</v>
      </c>
      <c r="H151">
        <f t="shared" si="12"/>
        <v>297576.924</v>
      </c>
      <c r="I151">
        <f t="shared" si="13"/>
        <v>20</v>
      </c>
      <c r="J151">
        <f t="shared" si="14"/>
        <v>125</v>
      </c>
      <c r="K151">
        <f t="shared" si="15"/>
        <v>297576.924</v>
      </c>
      <c r="L151">
        <f t="shared" si="16"/>
        <v>124.74285714285715</v>
      </c>
      <c r="M151">
        <f t="shared" si="17"/>
        <v>298190.3441365094</v>
      </c>
      <c r="O151" s="15"/>
      <c r="P151" s="15"/>
    </row>
    <row r="152" spans="1:16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 cm="1">
        <f t="array" ref="E152">_xlfn.XLOOKUP(1, (Лист1!$A152=Лист2!$A$2:$A$505)*(Лист1!$B152=Лист2!$B$2:$B$505),Лист2!$C$2:$C$505)</f>
        <v>129</v>
      </c>
      <c r="F152" s="7" cm="1">
        <f t="array" ref="F152">_xlfn.XLOOKUP(1, (Лист1!$A152=Лист2!$A$2:$A$505)*(Лист1!$B152=Лист2!$B$2:$B$505),Лист2!$D$2:$D$505)</f>
        <v>17235</v>
      </c>
      <c r="G152" s="7" cm="1">
        <f t="array" ref="G152">_xlfn.XLOOKUP(1, (Лист1!$A152=Лист2!$A$2:$A$505)*(Лист1!$B152=Лист2!$B$2:$B$505),Лист2!$E$2:$E$505)</f>
        <v>16052</v>
      </c>
      <c r="H152">
        <f t="shared" si="12"/>
        <v>227347.02325581395</v>
      </c>
      <c r="I152">
        <f t="shared" si="13"/>
        <v>22</v>
      </c>
      <c r="J152">
        <f t="shared" si="14"/>
        <v>129</v>
      </c>
      <c r="K152">
        <f t="shared" si="15"/>
        <v>227347.02325581395</v>
      </c>
      <c r="L152">
        <f t="shared" si="16"/>
        <v>128.91428571428571</v>
      </c>
      <c r="M152">
        <f t="shared" si="17"/>
        <v>227498.18484042553</v>
      </c>
      <c r="O152" s="15"/>
      <c r="P152" s="15"/>
    </row>
    <row r="153" spans="1:16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 cm="1">
        <f t="array" ref="E153">_xlfn.XLOOKUP(1, (Лист1!$A153=Лист2!$A$2:$A$505)*(Лист1!$B153=Лист2!$B$2:$B$505),Лист2!$C$2:$C$505)</f>
        <v>125</v>
      </c>
      <c r="F153" s="7" cm="1">
        <f t="array" ref="F153">_xlfn.XLOOKUP(1, (Лист1!$A153=Лист2!$A$2:$A$505)*(Лист1!$B153=Лист2!$B$2:$B$505),Лист2!$D$2:$D$505)</f>
        <v>18861</v>
      </c>
      <c r="G153" s="7" cm="1">
        <f t="array" ref="G153">_xlfn.XLOOKUP(1, (Лист1!$A153=Лист2!$A$2:$A$505)*(Лист1!$B153=Лист2!$B$2:$B$505),Лист2!$E$2:$E$505)</f>
        <v>17420</v>
      </c>
      <c r="H153">
        <f t="shared" si="12"/>
        <v>293055.99599999998</v>
      </c>
      <c r="I153">
        <f t="shared" si="13"/>
        <v>18</v>
      </c>
      <c r="J153">
        <f t="shared" si="14"/>
        <v>125</v>
      </c>
      <c r="K153">
        <f t="shared" si="15"/>
        <v>293055.99599999998</v>
      </c>
      <c r="L153">
        <f t="shared" si="16"/>
        <v>124.74285714285715</v>
      </c>
      <c r="M153">
        <f t="shared" si="17"/>
        <v>293660.09677049931</v>
      </c>
      <c r="O153" s="15"/>
      <c r="P153" s="15"/>
    </row>
    <row r="154" spans="1:16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 cm="1">
        <f t="array" ref="E154">_xlfn.XLOOKUP(1, (Лист1!$A154=Лист2!$A$2:$A$505)*(Лист1!$B154=Лист2!$B$2:$B$505),Лист2!$C$2:$C$505)</f>
        <v>129</v>
      </c>
      <c r="F154" s="7" cm="1">
        <f t="array" ref="F154">_xlfn.XLOOKUP(1, (Лист1!$A154=Лист2!$A$2:$A$505)*(Лист1!$B154=Лист2!$B$2:$B$505),Лист2!$D$2:$D$505)</f>
        <v>20243</v>
      </c>
      <c r="G154" s="7" cm="1">
        <f t="array" ref="G154">_xlfn.XLOOKUP(1, (Лист1!$A154=Лист2!$A$2:$A$505)*(Лист1!$B154=Лист2!$B$2:$B$505),Лист2!$E$2:$E$505)</f>
        <v>18711</v>
      </c>
      <c r="H154">
        <f t="shared" si="12"/>
        <v>276934.0581395349</v>
      </c>
      <c r="I154">
        <f t="shared" si="13"/>
        <v>22</v>
      </c>
      <c r="J154">
        <f t="shared" si="14"/>
        <v>129</v>
      </c>
      <c r="K154">
        <f t="shared" si="15"/>
        <v>276934.0581395349</v>
      </c>
      <c r="L154">
        <f t="shared" si="16"/>
        <v>128.91428571428571</v>
      </c>
      <c r="M154">
        <f t="shared" si="17"/>
        <v>277118.18982712767</v>
      </c>
      <c r="O154" s="15"/>
      <c r="P154" s="15"/>
    </row>
    <row r="155" spans="1:16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 cm="1">
        <f t="array" ref="E155">_xlfn.XLOOKUP(1, (Лист1!$A155=Лист2!$A$2:$A$505)*(Лист1!$B155=Лист2!$B$2:$B$505),Лист2!$C$2:$C$505)</f>
        <v>125</v>
      </c>
      <c r="F155" s="7" cm="1">
        <f t="array" ref="F155">_xlfn.XLOOKUP(1, (Лист1!$A155=Лист2!$A$2:$A$505)*(Лист1!$B155=Лист2!$B$2:$B$505),Лист2!$D$2:$D$505)</f>
        <v>20218</v>
      </c>
      <c r="G155" s="7" cm="1">
        <f t="array" ref="G155">_xlfn.XLOOKUP(1, (Лист1!$A155=Лист2!$A$2:$A$505)*(Лист1!$B155=Лист2!$B$2:$B$505),Лист2!$E$2:$E$505)</f>
        <v>18647</v>
      </c>
      <c r="H155">
        <f t="shared" si="12"/>
        <v>304738.75199999998</v>
      </c>
      <c r="I155">
        <f t="shared" si="13"/>
        <v>19</v>
      </c>
      <c r="J155">
        <f t="shared" si="14"/>
        <v>125</v>
      </c>
      <c r="K155">
        <f t="shared" si="15"/>
        <v>304738.75199999998</v>
      </c>
      <c r="L155">
        <f t="shared" si="16"/>
        <v>124.74285714285715</v>
      </c>
      <c r="M155">
        <f t="shared" si="17"/>
        <v>305366.93540998624</v>
      </c>
      <c r="O155" s="15"/>
      <c r="P155" s="15"/>
    </row>
    <row r="156" spans="1:16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 cm="1">
        <f t="array" ref="E156">_xlfn.XLOOKUP(1, (Лист1!$A156=Лист2!$A$2:$A$505)*(Лист1!$B156=Лист2!$B$2:$B$505),Лист2!$C$2:$C$505)</f>
        <v>125</v>
      </c>
      <c r="F156" s="7" cm="1">
        <f t="array" ref="F156">_xlfn.XLOOKUP(1, (Лист1!$A156=Лист2!$A$2:$A$505)*(Лист1!$B156=Лист2!$B$2:$B$505),Лист2!$D$2:$D$505)</f>
        <v>24574</v>
      </c>
      <c r="G156" s="7" cm="1">
        <f t="array" ref="G156">_xlfn.XLOOKUP(1, (Лист1!$A156=Лист2!$A$2:$A$505)*(Лист1!$B156=Лист2!$B$2:$B$505),Лист2!$E$2:$E$505)</f>
        <v>22609</v>
      </c>
      <c r="H156">
        <f t="shared" si="12"/>
        <v>371264.64</v>
      </c>
      <c r="I156">
        <f t="shared" si="13"/>
        <v>21</v>
      </c>
      <c r="J156">
        <f t="shared" si="14"/>
        <v>125</v>
      </c>
      <c r="K156">
        <f t="shared" si="15"/>
        <v>371264.64</v>
      </c>
      <c r="L156">
        <f t="shared" si="16"/>
        <v>124.74285714285715</v>
      </c>
      <c r="M156">
        <f t="shared" si="17"/>
        <v>372029.95877233165</v>
      </c>
      <c r="O156" s="15"/>
      <c r="P156" s="15"/>
    </row>
    <row r="157" spans="1:16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 cm="1">
        <f t="array" ref="E157">_xlfn.XLOOKUP(1, (Лист1!$A157=Лист2!$A$2:$A$505)*(Лист1!$B157=Лист2!$B$2:$B$505),Лист2!$C$2:$C$505)</f>
        <v>129</v>
      </c>
      <c r="F157" s="7" cm="1">
        <f t="array" ref="F157">_xlfn.XLOOKUP(1, (Лист1!$A157=Лист2!$A$2:$A$505)*(Лист1!$B157=Лист2!$B$2:$B$505),Лист2!$D$2:$D$505)</f>
        <v>16453</v>
      </c>
      <c r="G157" s="7" cm="1">
        <f t="array" ref="G157">_xlfn.XLOOKUP(1, (Лист1!$A157=Лист2!$A$2:$A$505)*(Лист1!$B157=Лист2!$B$2:$B$505),Лист2!$E$2:$E$505)</f>
        <v>15289</v>
      </c>
      <c r="H157">
        <f t="shared" si="12"/>
        <v>218224.84302325582</v>
      </c>
      <c r="I157">
        <f t="shared" si="13"/>
        <v>22</v>
      </c>
      <c r="J157">
        <f t="shared" si="14"/>
        <v>129</v>
      </c>
      <c r="K157">
        <f t="shared" si="15"/>
        <v>218224.84302325582</v>
      </c>
      <c r="L157">
        <f t="shared" si="16"/>
        <v>128.91428571428571</v>
      </c>
      <c r="M157">
        <f t="shared" si="17"/>
        <v>218369.93932845746</v>
      </c>
      <c r="O157" s="15"/>
      <c r="P157" s="15"/>
    </row>
    <row r="158" spans="1:16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 cm="1">
        <f t="array" ref="E158">_xlfn.XLOOKUP(1, (Лист1!$A158=Лист2!$A$2:$A$505)*(Лист1!$B158=Лист2!$B$2:$B$505),Лист2!$C$2:$C$505)</f>
        <v>124</v>
      </c>
      <c r="F158" s="7" cm="1">
        <f t="array" ref="F158">_xlfn.XLOOKUP(1, (Лист1!$A158=Лист2!$A$2:$A$505)*(Лист1!$B158=Лист2!$B$2:$B$505),Лист2!$D$2:$D$505)</f>
        <v>20358</v>
      </c>
      <c r="G158" s="7" cm="1">
        <f t="array" ref="G158">_xlfn.XLOOKUP(1, (Лист1!$A158=Лист2!$A$2:$A$505)*(Лист1!$B158=Лист2!$B$2:$B$505),Лист2!$E$2:$E$505)</f>
        <v>18890</v>
      </c>
      <c r="H158">
        <f t="shared" si="12"/>
        <v>297447</v>
      </c>
      <c r="I158">
        <f t="shared" si="13"/>
        <v>22</v>
      </c>
      <c r="J158">
        <f t="shared" si="14"/>
        <v>124</v>
      </c>
      <c r="K158">
        <f t="shared" si="15"/>
        <v>297447</v>
      </c>
      <c r="L158">
        <f t="shared" si="16"/>
        <v>124.74285714285715</v>
      </c>
      <c r="M158">
        <f t="shared" si="17"/>
        <v>295675.67109482363</v>
      </c>
      <c r="O158" s="15"/>
      <c r="P158" s="15"/>
    </row>
    <row r="159" spans="1:16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 cm="1">
        <f t="array" ref="E159">_xlfn.XLOOKUP(1, (Лист1!$A159=Лист2!$A$2:$A$505)*(Лист1!$B159=Лист2!$B$2:$B$505),Лист2!$C$2:$C$505)</f>
        <v>125</v>
      </c>
      <c r="F159" s="7" cm="1">
        <f t="array" ref="F159">_xlfn.XLOOKUP(1, (Лист1!$A159=Лист2!$A$2:$A$505)*(Лист1!$B159=Лист2!$B$2:$B$505),Лист2!$D$2:$D$505)</f>
        <v>22368</v>
      </c>
      <c r="G159" s="7" cm="1">
        <f t="array" ref="G159">_xlfn.XLOOKUP(1, (Лист1!$A159=Лист2!$A$2:$A$505)*(Лист1!$B159=Лист2!$B$2:$B$505),Лист2!$E$2:$E$505)</f>
        <v>20625</v>
      </c>
      <c r="H159">
        <f t="shared" si="12"/>
        <v>344229.87599999999</v>
      </c>
      <c r="I159">
        <f t="shared" si="13"/>
        <v>18</v>
      </c>
      <c r="J159">
        <f t="shared" si="14"/>
        <v>125</v>
      </c>
      <c r="K159">
        <f t="shared" si="15"/>
        <v>344229.87599999999</v>
      </c>
      <c r="L159">
        <f t="shared" si="16"/>
        <v>124.74285714285715</v>
      </c>
      <c r="M159">
        <f t="shared" si="17"/>
        <v>344939.465758131</v>
      </c>
      <c r="O159" s="15"/>
      <c r="P159" s="15"/>
    </row>
    <row r="160" spans="1:16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 cm="1">
        <f t="array" ref="E160">_xlfn.XLOOKUP(1, (Лист1!$A160=Лист2!$A$2:$A$505)*(Лист1!$B160=Лист2!$B$2:$B$505),Лист2!$C$2:$C$505)</f>
        <v>125</v>
      </c>
      <c r="F160" s="7" cm="1">
        <f t="array" ref="F160">_xlfn.XLOOKUP(1, (Лист1!$A160=Лист2!$A$2:$A$505)*(Лист1!$B160=Лист2!$B$2:$B$505),Лист2!$D$2:$D$505)</f>
        <v>20368</v>
      </c>
      <c r="G160" s="7" cm="1">
        <f t="array" ref="G160">_xlfn.XLOOKUP(1, (Лист1!$A160=Лист2!$A$2:$A$505)*(Лист1!$B160=Лист2!$B$2:$B$505),Лист2!$E$2:$E$505)</f>
        <v>18884</v>
      </c>
      <c r="H160">
        <f t="shared" si="12"/>
        <v>312087</v>
      </c>
      <c r="I160">
        <f t="shared" si="13"/>
        <v>19</v>
      </c>
      <c r="J160">
        <f t="shared" si="14"/>
        <v>125</v>
      </c>
      <c r="K160">
        <f t="shared" si="15"/>
        <v>312087</v>
      </c>
      <c r="L160">
        <f t="shared" si="16"/>
        <v>124.74285714285715</v>
      </c>
      <c r="M160">
        <f t="shared" si="17"/>
        <v>312730.33096655976</v>
      </c>
      <c r="O160" s="15"/>
      <c r="P160" s="15"/>
    </row>
    <row r="161" spans="1:16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 cm="1">
        <f t="array" ref="E161">_xlfn.XLOOKUP(1, (Лист1!$A161=Лист2!$A$2:$A$505)*(Лист1!$B161=Лист2!$B$2:$B$505),Лист2!$C$2:$C$505)</f>
        <v>125</v>
      </c>
      <c r="F161" s="7" cm="1">
        <f t="array" ref="F161">_xlfn.XLOOKUP(1, (Лист1!$A161=Лист2!$A$2:$A$505)*(Лист1!$B161=Лист2!$B$2:$B$505),Лист2!$D$2:$D$505)</f>
        <v>24620</v>
      </c>
      <c r="G161" s="7" cm="1">
        <f t="array" ref="G161">_xlfn.XLOOKUP(1, (Лист1!$A161=Лист2!$A$2:$A$505)*(Лист1!$B161=Лист2!$B$2:$B$505),Лист2!$E$2:$E$505)</f>
        <v>22641</v>
      </c>
      <c r="H161">
        <f t="shared" si="12"/>
        <v>392985.44400000002</v>
      </c>
      <c r="I161">
        <f t="shared" si="13"/>
        <v>19</v>
      </c>
      <c r="J161">
        <f t="shared" si="14"/>
        <v>125</v>
      </c>
      <c r="K161">
        <f t="shared" si="15"/>
        <v>392985.44400000002</v>
      </c>
      <c r="L161">
        <f t="shared" si="16"/>
        <v>124.74285714285715</v>
      </c>
      <c r="M161">
        <f t="shared" si="17"/>
        <v>393795.53767750802</v>
      </c>
      <c r="O161" s="15"/>
      <c r="P161" s="15"/>
    </row>
    <row r="162" spans="1:16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 cm="1">
        <f t="array" ref="E162">_xlfn.XLOOKUP(1, (Лист1!$A162=Лист2!$A$2:$A$505)*(Лист1!$B162=Лист2!$B$2:$B$505),Лист2!$C$2:$C$505)</f>
        <v>125</v>
      </c>
      <c r="F162" s="7" cm="1">
        <f t="array" ref="F162">_xlfn.XLOOKUP(1, (Лист1!$A162=Лист2!$A$2:$A$505)*(Лист1!$B162=Лист2!$B$2:$B$505),Лист2!$D$2:$D$505)</f>
        <v>18014</v>
      </c>
      <c r="G162" s="7" cm="1">
        <f t="array" ref="G162">_xlfn.XLOOKUP(1, (Лист1!$A162=Лист2!$A$2:$A$505)*(Лист1!$B162=Лист2!$B$2:$B$505),Лист2!$E$2:$E$505)</f>
        <v>16675</v>
      </c>
      <c r="H162">
        <f t="shared" si="12"/>
        <v>270111.91200000001</v>
      </c>
      <c r="I162">
        <f t="shared" si="13"/>
        <v>19</v>
      </c>
      <c r="J162">
        <f t="shared" si="14"/>
        <v>125</v>
      </c>
      <c r="K162">
        <f t="shared" si="15"/>
        <v>270111.91200000001</v>
      </c>
      <c r="L162">
        <f t="shared" si="16"/>
        <v>124.74285714285715</v>
      </c>
      <c r="M162">
        <f t="shared" si="17"/>
        <v>270668.71621621621</v>
      </c>
      <c r="O162" s="15"/>
      <c r="P162" s="15"/>
    </row>
    <row r="163" spans="1:16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 cm="1">
        <f t="array" ref="E163">_xlfn.XLOOKUP(1, (Лист1!$A163=Лист2!$A$2:$A$505)*(Лист1!$B163=Лист2!$B$2:$B$505),Лист2!$C$2:$C$505)</f>
        <v>125</v>
      </c>
      <c r="F163" s="7" cm="1">
        <f t="array" ref="F163">_xlfn.XLOOKUP(1, (Лист1!$A163=Лист2!$A$2:$A$505)*(Лист1!$B163=Лист2!$B$2:$B$505),Лист2!$D$2:$D$505)</f>
        <v>21004</v>
      </c>
      <c r="G163" s="7" cm="1">
        <f t="array" ref="G163">_xlfn.XLOOKUP(1, (Лист1!$A163=Лист2!$A$2:$A$505)*(Лист1!$B163=Лист2!$B$2:$B$505),Лист2!$E$2:$E$505)</f>
        <v>19556</v>
      </c>
      <c r="H163">
        <f t="shared" si="12"/>
        <v>305531.05200000003</v>
      </c>
      <c r="I163">
        <f t="shared" si="13"/>
        <v>21</v>
      </c>
      <c r="J163">
        <f t="shared" si="14"/>
        <v>125</v>
      </c>
      <c r="K163">
        <f t="shared" si="15"/>
        <v>305531.05200000003</v>
      </c>
      <c r="L163">
        <f t="shared" si="16"/>
        <v>124.74285714285715</v>
      </c>
      <c r="M163">
        <f t="shared" si="17"/>
        <v>306160.86864406778</v>
      </c>
      <c r="O163" s="15"/>
      <c r="P163" s="15"/>
    </row>
    <row r="164" spans="1:16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 cm="1">
        <f t="array" ref="E164">_xlfn.XLOOKUP(1, (Лист1!$A164=Лист2!$A$2:$A$505)*(Лист1!$B164=Лист2!$B$2:$B$505),Лист2!$C$2:$C$505)</f>
        <v>36</v>
      </c>
      <c r="F164" s="7" cm="1">
        <f t="array" ref="F164">_xlfn.XLOOKUP(1, (Лист1!$A164=Лист2!$A$2:$A$505)*(Лист1!$B164=Лист2!$B$2:$B$505),Лист2!$D$2:$D$505)</f>
        <v>5286</v>
      </c>
      <c r="G164" s="7" cm="1">
        <f t="array" ref="G164">_xlfn.XLOOKUP(1, (Лист1!$A164=Лист2!$A$2:$A$505)*(Лист1!$B164=Лист2!$B$2:$B$505),Лист2!$E$2:$E$505)</f>
        <v>4867</v>
      </c>
      <c r="H164">
        <f t="shared" si="12"/>
        <v>184782.75</v>
      </c>
      <c r="I164">
        <f t="shared" si="13"/>
        <v>20</v>
      </c>
      <c r="J164">
        <f t="shared" si="14"/>
        <v>36</v>
      </c>
      <c r="K164">
        <f t="shared" si="15"/>
        <v>184782.75</v>
      </c>
      <c r="L164">
        <f t="shared" si="16"/>
        <v>36.142857142857146</v>
      </c>
      <c r="M164">
        <f t="shared" si="17"/>
        <v>184052.38339920947</v>
      </c>
      <c r="O164" s="15"/>
      <c r="P164" s="15"/>
    </row>
    <row r="165" spans="1:16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 cm="1">
        <f t="array" ref="E165">_xlfn.XLOOKUP(1, (Лист1!$A165=Лист2!$A$2:$A$505)*(Лист1!$B165=Лист2!$B$2:$B$505),Лист2!$C$2:$C$505)</f>
        <v>36</v>
      </c>
      <c r="F165" s="7" cm="1">
        <f t="array" ref="F165">_xlfn.XLOOKUP(1, (Лист1!$A165=Лист2!$A$2:$A$505)*(Лист1!$B165=Лист2!$B$2:$B$505),Лист2!$D$2:$D$505)</f>
        <v>5094</v>
      </c>
      <c r="G165" s="7" cm="1">
        <f t="array" ref="G165">_xlfn.XLOOKUP(1, (Лист1!$A165=Лист2!$A$2:$A$505)*(Лист1!$B165=Лист2!$B$2:$B$505),Лист2!$E$2:$E$505)</f>
        <v>4716</v>
      </c>
      <c r="H165">
        <f t="shared" si="12"/>
        <v>171485.08333333334</v>
      </c>
      <c r="I165">
        <f t="shared" si="13"/>
        <v>21</v>
      </c>
      <c r="J165">
        <f t="shared" si="14"/>
        <v>36</v>
      </c>
      <c r="K165">
        <f t="shared" si="15"/>
        <v>171485.08333333334</v>
      </c>
      <c r="L165">
        <f t="shared" si="16"/>
        <v>36.142857142857146</v>
      </c>
      <c r="M165">
        <f t="shared" si="17"/>
        <v>170807.27667984189</v>
      </c>
      <c r="O165" s="15"/>
      <c r="P165" s="15"/>
    </row>
    <row r="166" spans="1:16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 cm="1">
        <f t="array" ref="E166">_xlfn.XLOOKUP(1, (Лист1!$A166=Лист2!$A$2:$A$505)*(Лист1!$B166=Лист2!$B$2:$B$505),Лист2!$C$2:$C$505)</f>
        <v>36</v>
      </c>
      <c r="F166" s="7" cm="1">
        <f t="array" ref="F166">_xlfn.XLOOKUP(1, (Лист1!$A166=Лист2!$A$2:$A$505)*(Лист1!$B166=Лист2!$B$2:$B$505),Лист2!$D$2:$D$505)</f>
        <v>4918</v>
      </c>
      <c r="G166" s="7" cm="1">
        <f t="array" ref="G166">_xlfn.XLOOKUP(1, (Лист1!$A166=Лист2!$A$2:$A$505)*(Лист1!$B166=Лист2!$B$2:$B$505),Лист2!$E$2:$E$505)</f>
        <v>4554</v>
      </c>
      <c r="H166">
        <f t="shared" si="12"/>
        <v>165355.625</v>
      </c>
      <c r="I166">
        <f t="shared" si="13"/>
        <v>20</v>
      </c>
      <c r="J166">
        <f t="shared" si="14"/>
        <v>36</v>
      </c>
      <c r="K166">
        <f t="shared" si="15"/>
        <v>165355.625</v>
      </c>
      <c r="L166">
        <f t="shared" si="16"/>
        <v>36.142857142857146</v>
      </c>
      <c r="M166">
        <f t="shared" si="17"/>
        <v>164702.04545454544</v>
      </c>
      <c r="O166" s="15"/>
      <c r="P166" s="15"/>
    </row>
    <row r="167" spans="1:16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 cm="1">
        <f t="array" ref="E167">_xlfn.XLOOKUP(1, (Лист1!$A167=Лист2!$A$2:$A$505)*(Лист1!$B167=Лист2!$B$2:$B$505),Лист2!$C$2:$C$505)</f>
        <v>36</v>
      </c>
      <c r="F167" s="7" cm="1">
        <f t="array" ref="F167">_xlfn.XLOOKUP(1, (Лист1!$A167=Лист2!$A$2:$A$505)*(Лист1!$B167=Лист2!$B$2:$B$505),Лист2!$D$2:$D$505)</f>
        <v>5413</v>
      </c>
      <c r="G167" s="7" cm="1">
        <f t="array" ref="G167">_xlfn.XLOOKUP(1, (Лист1!$A167=Лист2!$A$2:$A$505)*(Лист1!$B167=Лист2!$B$2:$B$505),Лист2!$E$2:$E$505)</f>
        <v>4959</v>
      </c>
      <c r="H167">
        <f t="shared" si="12"/>
        <v>201484.08333333334</v>
      </c>
      <c r="I167">
        <f t="shared" si="13"/>
        <v>19</v>
      </c>
      <c r="J167">
        <f t="shared" si="14"/>
        <v>36</v>
      </c>
      <c r="K167">
        <f t="shared" si="15"/>
        <v>201484.08333333334</v>
      </c>
      <c r="L167">
        <f t="shared" si="16"/>
        <v>36.142857142857146</v>
      </c>
      <c r="M167">
        <f t="shared" si="17"/>
        <v>200687.70355731223</v>
      </c>
      <c r="O167" s="15"/>
      <c r="P167" s="15"/>
    </row>
    <row r="168" spans="1:16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 cm="1">
        <f t="array" ref="E168">_xlfn.XLOOKUP(1, (Лист1!$A168=Лист2!$A$2:$A$505)*(Лист1!$B168=Лист2!$B$2:$B$505),Лист2!$C$2:$C$505)</f>
        <v>36</v>
      </c>
      <c r="F168" s="7" cm="1">
        <f t="array" ref="F168">_xlfn.XLOOKUP(1, (Лист1!$A168=Лист2!$A$2:$A$505)*(Лист1!$B168=Лист2!$B$2:$B$505),Лист2!$D$2:$D$505)</f>
        <v>4508</v>
      </c>
      <c r="G168" s="7" cm="1">
        <f t="array" ref="G168">_xlfn.XLOOKUP(1, (Лист1!$A168=Лист2!$A$2:$A$505)*(Лист1!$B168=Лист2!$B$2:$B$505),Лист2!$E$2:$E$505)</f>
        <v>4149</v>
      </c>
      <c r="H168">
        <f t="shared" si="12"/>
        <v>154484.79166666666</v>
      </c>
      <c r="I168">
        <f t="shared" si="13"/>
        <v>19</v>
      </c>
      <c r="J168">
        <f t="shared" si="14"/>
        <v>36</v>
      </c>
      <c r="K168">
        <f t="shared" si="15"/>
        <v>154484.79166666666</v>
      </c>
      <c r="L168">
        <f t="shared" si="16"/>
        <v>36.142857142857146</v>
      </c>
      <c r="M168">
        <f t="shared" si="17"/>
        <v>153874.17984189722</v>
      </c>
      <c r="O168" s="15"/>
      <c r="P168" s="15"/>
    </row>
    <row r="169" spans="1:16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 cm="1">
        <f t="array" ref="E169">_xlfn.XLOOKUP(1, (Лист1!$A169=Лист2!$A$2:$A$505)*(Лист1!$B169=Лист2!$B$2:$B$505),Лист2!$C$2:$C$505)</f>
        <v>36</v>
      </c>
      <c r="F169" s="7" cm="1">
        <f t="array" ref="F169">_xlfn.XLOOKUP(1, (Лист1!$A169=Лист2!$A$2:$A$505)*(Лист1!$B169=Лист2!$B$2:$B$505),Лист2!$D$2:$D$505)</f>
        <v>4937</v>
      </c>
      <c r="G169" s="7" cm="1">
        <f t="array" ref="G169">_xlfn.XLOOKUP(1, (Лист1!$A169=Лист2!$A$2:$A$505)*(Лист1!$B169=Лист2!$B$2:$B$505),Лист2!$E$2:$E$505)</f>
        <v>4561</v>
      </c>
      <c r="H169">
        <f t="shared" si="12"/>
        <v>179290.5</v>
      </c>
      <c r="I169">
        <f t="shared" si="13"/>
        <v>18</v>
      </c>
      <c r="J169">
        <f t="shared" si="14"/>
        <v>36</v>
      </c>
      <c r="K169">
        <f t="shared" si="15"/>
        <v>179290.5</v>
      </c>
      <c r="L169">
        <f t="shared" si="16"/>
        <v>36.142857142857146</v>
      </c>
      <c r="M169">
        <f t="shared" si="17"/>
        <v>178581.84189723319</v>
      </c>
      <c r="O169" s="15"/>
      <c r="P169" s="15"/>
    </row>
    <row r="170" spans="1:16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 cm="1">
        <f t="array" ref="E170">_xlfn.XLOOKUP(1, (Лист1!$A170=Лист2!$A$2:$A$505)*(Лист1!$B170=Лист2!$B$2:$B$505),Лист2!$C$2:$C$505)</f>
        <v>36</v>
      </c>
      <c r="F170" s="7" cm="1">
        <f t="array" ref="F170">_xlfn.XLOOKUP(1, (Лист1!$A170=Лист2!$A$2:$A$505)*(Лист1!$B170=Лист2!$B$2:$B$505),Лист2!$D$2:$D$505)</f>
        <v>3442</v>
      </c>
      <c r="G170" s="7" cm="1">
        <f t="array" ref="G170">_xlfn.XLOOKUP(1, (Лист1!$A170=Лист2!$A$2:$A$505)*(Лист1!$B170=Лист2!$B$2:$B$505),Лист2!$E$2:$E$505)</f>
        <v>3147</v>
      </c>
      <c r="H170">
        <f t="shared" si="12"/>
        <v>114395.875</v>
      </c>
      <c r="I170">
        <f t="shared" si="13"/>
        <v>18</v>
      </c>
      <c r="J170">
        <f t="shared" si="14"/>
        <v>36</v>
      </c>
      <c r="K170">
        <f t="shared" si="15"/>
        <v>114395.875</v>
      </c>
      <c r="L170">
        <f t="shared" si="16"/>
        <v>36.142857142857146</v>
      </c>
      <c r="M170">
        <f t="shared" si="17"/>
        <v>113943.71739130434</v>
      </c>
      <c r="O170" s="15"/>
      <c r="P170" s="15"/>
    </row>
    <row r="171" spans="1:16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 cm="1">
        <f t="array" ref="E171">_xlfn.XLOOKUP(1, (Лист1!$A171=Лист2!$A$2:$A$505)*(Лист1!$B171=Лист2!$B$2:$B$505),Лист2!$C$2:$C$505)</f>
        <v>36</v>
      </c>
      <c r="F171" s="7" cm="1">
        <f t="array" ref="F171">_xlfn.XLOOKUP(1, (Лист1!$A171=Лист2!$A$2:$A$505)*(Лист1!$B171=Лист2!$B$2:$B$505),Лист2!$D$2:$D$505)</f>
        <v>4770</v>
      </c>
      <c r="G171" s="7" cm="1">
        <f t="array" ref="G171">_xlfn.XLOOKUP(1, (Лист1!$A171=Лист2!$A$2:$A$505)*(Лист1!$B171=Лист2!$B$2:$B$505),Лист2!$E$2:$E$505)</f>
        <v>4424</v>
      </c>
      <c r="H171">
        <f t="shared" si="12"/>
        <v>162916.375</v>
      </c>
      <c r="I171">
        <f t="shared" si="13"/>
        <v>22</v>
      </c>
      <c r="J171">
        <f t="shared" si="14"/>
        <v>36.571428571428569</v>
      </c>
      <c r="K171">
        <f t="shared" si="15"/>
        <v>160370.806640625</v>
      </c>
      <c r="L171">
        <f t="shared" si="16"/>
        <v>36.142857142857146</v>
      </c>
      <c r="M171">
        <f t="shared" si="17"/>
        <v>162272.43675889328</v>
      </c>
      <c r="O171" s="15"/>
      <c r="P171" s="15"/>
    </row>
    <row r="172" spans="1:16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 cm="1">
        <f t="array" ref="E172">_xlfn.XLOOKUP(1, (Лист1!$A172=Лист2!$A$2:$A$505)*(Лист1!$B172=Лист2!$B$2:$B$505),Лист2!$C$2:$C$505)</f>
        <v>36</v>
      </c>
      <c r="F172" s="7" cm="1">
        <f t="array" ref="F172">_xlfn.XLOOKUP(1, (Лист1!$A172=Лист2!$A$2:$A$505)*(Лист1!$B172=Лист2!$B$2:$B$505),Лист2!$D$2:$D$505)</f>
        <v>5457</v>
      </c>
      <c r="G172" s="7" cm="1">
        <f t="array" ref="G172">_xlfn.XLOOKUP(1, (Лист1!$A172=Лист2!$A$2:$A$505)*(Лист1!$B172=Лист2!$B$2:$B$505),Лист2!$E$2:$E$505)</f>
        <v>4916</v>
      </c>
      <c r="H172">
        <f t="shared" si="12"/>
        <v>195339.58333333334</v>
      </c>
      <c r="I172">
        <f t="shared" si="13"/>
        <v>18</v>
      </c>
      <c r="J172">
        <f t="shared" si="14"/>
        <v>36</v>
      </c>
      <c r="K172">
        <f t="shared" si="15"/>
        <v>195339.58333333334</v>
      </c>
      <c r="L172">
        <f t="shared" si="16"/>
        <v>36.142857142857146</v>
      </c>
      <c r="M172">
        <f t="shared" si="17"/>
        <v>194567.49011857706</v>
      </c>
      <c r="O172" s="15"/>
      <c r="P172" s="15"/>
    </row>
    <row r="173" spans="1:16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 cm="1">
        <f t="array" ref="E173">_xlfn.XLOOKUP(1, (Лист1!$A173=Лист2!$A$2:$A$505)*(Лист1!$B173=Лист2!$B$2:$B$505),Лист2!$C$2:$C$505)</f>
        <v>36</v>
      </c>
      <c r="F173" s="7" cm="1">
        <f t="array" ref="F173">_xlfn.XLOOKUP(1, (Лист1!$A173=Лист2!$A$2:$A$505)*(Лист1!$B173=Лист2!$B$2:$B$505),Лист2!$D$2:$D$505)</f>
        <v>4418</v>
      </c>
      <c r="G173" s="7" cm="1">
        <f t="array" ref="G173">_xlfn.XLOOKUP(1, (Лист1!$A173=Лист2!$A$2:$A$505)*(Лист1!$B173=Лист2!$B$2:$B$505),Лист2!$E$2:$E$505)</f>
        <v>4088</v>
      </c>
      <c r="H173">
        <f t="shared" si="12"/>
        <v>153420.70833333334</v>
      </c>
      <c r="I173">
        <f t="shared" si="13"/>
        <v>20</v>
      </c>
      <c r="J173">
        <f t="shared" si="14"/>
        <v>36</v>
      </c>
      <c r="K173">
        <f t="shared" si="15"/>
        <v>153420.70833333334</v>
      </c>
      <c r="L173">
        <f t="shared" si="16"/>
        <v>36.142857142857146</v>
      </c>
      <c r="M173">
        <f t="shared" si="17"/>
        <v>152814.30237154147</v>
      </c>
      <c r="O173" s="15"/>
      <c r="P173" s="15"/>
    </row>
    <row r="174" spans="1:16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 cm="1">
        <f t="array" ref="E174">_xlfn.XLOOKUP(1, (Лист1!$A174=Лист2!$A$2:$A$505)*(Лист1!$B174=Лист2!$B$2:$B$505),Лист2!$C$2:$C$505)</f>
        <v>36</v>
      </c>
      <c r="F174" s="7" cm="1">
        <f t="array" ref="F174">_xlfn.XLOOKUP(1, (Лист1!$A174=Лист2!$A$2:$A$505)*(Лист1!$B174=Лист2!$B$2:$B$505),Лист2!$D$2:$D$505)</f>
        <v>4816</v>
      </c>
      <c r="G174" s="7" cm="1">
        <f t="array" ref="G174">_xlfn.XLOOKUP(1, (Лист1!$A174=Лист2!$A$2:$A$505)*(Лист1!$B174=Лист2!$B$2:$B$505),Лист2!$E$2:$E$505)</f>
        <v>4452</v>
      </c>
      <c r="H174">
        <f t="shared" si="12"/>
        <v>162891.25</v>
      </c>
      <c r="I174">
        <f t="shared" si="13"/>
        <v>21</v>
      </c>
      <c r="J174">
        <f t="shared" si="14"/>
        <v>36</v>
      </c>
      <c r="K174">
        <f t="shared" si="15"/>
        <v>162891.25</v>
      </c>
      <c r="L174">
        <f t="shared" si="16"/>
        <v>36.142857142857146</v>
      </c>
      <c r="M174">
        <f t="shared" si="17"/>
        <v>162247.41106719367</v>
      </c>
      <c r="O174" s="15"/>
      <c r="P174" s="15"/>
    </row>
    <row r="175" spans="1:16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 cm="1">
        <f t="array" ref="E175">_xlfn.XLOOKUP(1, (Лист1!$A175=Лист2!$A$2:$A$505)*(Лист1!$B175=Лист2!$B$2:$B$505),Лист2!$C$2:$C$505)</f>
        <v>36</v>
      </c>
      <c r="F175" s="7" cm="1">
        <f t="array" ref="F175">_xlfn.XLOOKUP(1, (Лист1!$A175=Лист2!$A$2:$A$505)*(Лист1!$B175=Лист2!$B$2:$B$505),Лист2!$D$2:$D$505)</f>
        <v>5914</v>
      </c>
      <c r="G175" s="7" cm="1">
        <f t="array" ref="G175">_xlfn.XLOOKUP(1, (Лист1!$A175=Лист2!$A$2:$A$505)*(Лист1!$B175=Лист2!$B$2:$B$505),Лист2!$E$2:$E$505)</f>
        <v>5384</v>
      </c>
      <c r="H175">
        <f t="shared" si="12"/>
        <v>197831.83333333334</v>
      </c>
      <c r="I175">
        <f t="shared" si="13"/>
        <v>21</v>
      </c>
      <c r="J175">
        <f t="shared" si="14"/>
        <v>36</v>
      </c>
      <c r="K175">
        <f t="shared" si="15"/>
        <v>197831.83333333334</v>
      </c>
      <c r="L175">
        <f t="shared" si="16"/>
        <v>36.142857142857146</v>
      </c>
      <c r="M175">
        <f t="shared" si="17"/>
        <v>197049.88932806323</v>
      </c>
      <c r="O175" s="15"/>
      <c r="P175" s="15"/>
    </row>
    <row r="176" spans="1:16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 cm="1">
        <f t="array" ref="E176">_xlfn.XLOOKUP(1, (Лист1!$A176=Лист2!$A$2:$A$505)*(Лист1!$B176=Лист2!$B$2:$B$505),Лист2!$C$2:$C$505)</f>
        <v>36</v>
      </c>
      <c r="F176" s="7" cm="1">
        <f t="array" ref="F176">_xlfn.XLOOKUP(1, (Лист1!$A176=Лист2!$A$2:$A$505)*(Лист1!$B176=Лист2!$B$2:$B$505),Лист2!$D$2:$D$505)</f>
        <v>4575</v>
      </c>
      <c r="G176" s="7" cm="1">
        <f t="array" ref="G176">_xlfn.XLOOKUP(1, (Лист1!$A176=Лист2!$A$2:$A$505)*(Лист1!$B176=Лист2!$B$2:$B$505),Лист2!$E$2:$E$505)</f>
        <v>4206</v>
      </c>
      <c r="H176">
        <f t="shared" si="12"/>
        <v>160292.75</v>
      </c>
      <c r="I176">
        <f t="shared" si="13"/>
        <v>19</v>
      </c>
      <c r="J176">
        <f t="shared" si="14"/>
        <v>36</v>
      </c>
      <c r="K176">
        <f t="shared" si="15"/>
        <v>160292.75</v>
      </c>
      <c r="L176">
        <f t="shared" si="16"/>
        <v>36.142857142857146</v>
      </c>
      <c r="M176">
        <f t="shared" si="17"/>
        <v>159659.18181818179</v>
      </c>
      <c r="O176" s="15"/>
      <c r="P176" s="15"/>
    </row>
    <row r="177" spans="1:16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 cm="1">
        <f t="array" ref="E177">_xlfn.XLOOKUP(1, (Лист1!$A177=Лист2!$A$2:$A$505)*(Лист1!$B177=Лист2!$B$2:$B$505),Лист2!$C$2:$C$505)</f>
        <v>36</v>
      </c>
      <c r="F177" s="7" cm="1">
        <f t="array" ref="F177">_xlfn.XLOOKUP(1, (Лист1!$A177=Лист2!$A$2:$A$505)*(Лист1!$B177=Лист2!$B$2:$B$505),Лист2!$D$2:$D$505)</f>
        <v>4923</v>
      </c>
      <c r="G177" s="7" cm="1">
        <f t="array" ref="G177">_xlfn.XLOOKUP(1, (Лист1!$A177=Лист2!$A$2:$A$505)*(Лист1!$B177=Лист2!$B$2:$B$505),Лист2!$E$2:$E$505)</f>
        <v>4560</v>
      </c>
      <c r="H177">
        <f t="shared" si="12"/>
        <v>174673.5</v>
      </c>
      <c r="I177">
        <f t="shared" si="13"/>
        <v>18</v>
      </c>
      <c r="J177">
        <f t="shared" si="14"/>
        <v>36</v>
      </c>
      <c r="K177">
        <f t="shared" si="15"/>
        <v>174673.5</v>
      </c>
      <c r="L177">
        <f t="shared" si="16"/>
        <v>36.142857142857146</v>
      </c>
      <c r="M177">
        <f t="shared" si="17"/>
        <v>173983.09090909088</v>
      </c>
      <c r="O177" s="15"/>
      <c r="P177" s="15"/>
    </row>
    <row r="178" spans="1:16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 cm="1">
        <f t="array" ref="E178">_xlfn.XLOOKUP(1, (Лист1!$A178=Лист2!$A$2:$A$505)*(Лист1!$B178=Лист2!$B$2:$B$505),Лист2!$C$2:$C$505)</f>
        <v>36</v>
      </c>
      <c r="F178" s="7" cm="1">
        <f t="array" ref="F178">_xlfn.XLOOKUP(1, (Лист1!$A178=Лист2!$A$2:$A$505)*(Лист1!$B178=Лист2!$B$2:$B$505),Лист2!$D$2:$D$505)</f>
        <v>4967</v>
      </c>
      <c r="G178" s="7" cm="1">
        <f t="array" ref="G178">_xlfn.XLOOKUP(1, (Лист1!$A178=Лист2!$A$2:$A$505)*(Лист1!$B178=Лист2!$B$2:$B$505),Лист2!$E$2:$E$505)</f>
        <v>4583</v>
      </c>
      <c r="H178">
        <f t="shared" si="12"/>
        <v>175939.66666666666</v>
      </c>
      <c r="I178">
        <f t="shared" si="13"/>
        <v>20</v>
      </c>
      <c r="J178">
        <f t="shared" si="14"/>
        <v>36</v>
      </c>
      <c r="K178">
        <f t="shared" si="15"/>
        <v>175939.66666666666</v>
      </c>
      <c r="L178">
        <f t="shared" si="16"/>
        <v>36.142857142857146</v>
      </c>
      <c r="M178">
        <f t="shared" si="17"/>
        <v>175244.25296442685</v>
      </c>
      <c r="O178" s="15"/>
      <c r="P178" s="15"/>
    </row>
    <row r="179" spans="1:16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 cm="1">
        <f t="array" ref="E179">_xlfn.XLOOKUP(1, (Лист1!$A179=Лист2!$A$2:$A$505)*(Лист1!$B179=Лист2!$B$2:$B$505),Лист2!$C$2:$C$505)</f>
        <v>124</v>
      </c>
      <c r="F179" s="7" cm="1">
        <f t="array" ref="F179">_xlfn.XLOOKUP(1, (Лист1!$A179=Лист2!$A$2:$A$505)*(Лист1!$B179=Лист2!$B$2:$B$505),Лист2!$D$2:$D$505)</f>
        <v>21392</v>
      </c>
      <c r="G179" s="7" cm="1">
        <f t="array" ref="G179">_xlfn.XLOOKUP(1, (Лист1!$A179=Лист2!$A$2:$A$505)*(Лист1!$B179=Лист2!$B$2:$B$505),Лист2!$E$2:$E$505)</f>
        <v>19869</v>
      </c>
      <c r="H179">
        <f t="shared" si="12"/>
        <v>317582.08064516127</v>
      </c>
      <c r="I179">
        <f t="shared" si="13"/>
        <v>22</v>
      </c>
      <c r="J179">
        <f t="shared" si="14"/>
        <v>124</v>
      </c>
      <c r="K179">
        <f t="shared" si="15"/>
        <v>317582.08064516127</v>
      </c>
      <c r="L179">
        <f t="shared" si="16"/>
        <v>124.74285714285715</v>
      </c>
      <c r="M179">
        <f t="shared" si="17"/>
        <v>315690.84516720107</v>
      </c>
      <c r="O179" s="15"/>
      <c r="P179" s="15"/>
    </row>
    <row r="180" spans="1:16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 cm="1">
        <f t="array" ref="E180">_xlfn.XLOOKUP(1, (Лист1!$A180=Лист2!$A$2:$A$505)*(Лист1!$B180=Лист2!$B$2:$B$505),Лист2!$C$2:$C$505)</f>
        <v>36</v>
      </c>
      <c r="F180" s="7" cm="1">
        <f t="array" ref="F180">_xlfn.XLOOKUP(1, (Лист1!$A180=Лист2!$A$2:$A$505)*(Лист1!$B180=Лист2!$B$2:$B$505),Лист2!$D$2:$D$505)</f>
        <v>4751</v>
      </c>
      <c r="G180" s="7" cm="1">
        <f t="array" ref="G180">_xlfn.XLOOKUP(1, (Лист1!$A180=Лист2!$A$2:$A$505)*(Лист1!$B180=Лист2!$B$2:$B$505),Лист2!$E$2:$E$505)</f>
        <v>4370</v>
      </c>
      <c r="H180">
        <f t="shared" si="12"/>
        <v>172814.45833333334</v>
      </c>
      <c r="I180">
        <f t="shared" si="13"/>
        <v>18</v>
      </c>
      <c r="J180">
        <f t="shared" si="14"/>
        <v>36</v>
      </c>
      <c r="K180">
        <f t="shared" si="15"/>
        <v>172814.45833333334</v>
      </c>
      <c r="L180">
        <f t="shared" si="16"/>
        <v>36.142857142857146</v>
      </c>
      <c r="M180">
        <f t="shared" si="17"/>
        <v>172131.39723320157</v>
      </c>
      <c r="O180" s="15"/>
      <c r="P180" s="15"/>
    </row>
    <row r="181" spans="1:16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 cm="1">
        <f t="array" ref="E181">_xlfn.XLOOKUP(1, (Лист1!$A181=Лист2!$A$2:$A$505)*(Лист1!$B181=Лист2!$B$2:$B$505),Лист2!$C$2:$C$505)</f>
        <v>124</v>
      </c>
      <c r="F181" s="7" cm="1">
        <f t="array" ref="F181">_xlfn.XLOOKUP(1, (Лист1!$A181=Лист2!$A$2:$A$505)*(Лист1!$B181=Лист2!$B$2:$B$505),Лист2!$D$2:$D$505)</f>
        <v>24325</v>
      </c>
      <c r="G181" s="7" cm="1">
        <f t="array" ref="G181">_xlfn.XLOOKUP(1, (Лист1!$A181=Лист2!$A$2:$A$505)*(Лист1!$B181=Лист2!$B$2:$B$505),Лист2!$E$2:$E$505)</f>
        <v>22469</v>
      </c>
      <c r="H181">
        <f t="shared" si="12"/>
        <v>373958.90322580643</v>
      </c>
      <c r="I181">
        <f t="shared" si="13"/>
        <v>22</v>
      </c>
      <c r="J181">
        <f t="shared" si="14"/>
        <v>124</v>
      </c>
      <c r="K181">
        <f t="shared" si="15"/>
        <v>373958.90322580643</v>
      </c>
      <c r="L181">
        <f t="shared" si="16"/>
        <v>124.74285714285715</v>
      </c>
      <c r="M181">
        <f t="shared" si="17"/>
        <v>371731.93770041224</v>
      </c>
      <c r="O181" s="15"/>
      <c r="P181" s="15"/>
    </row>
    <row r="182" spans="1:16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 cm="1">
        <f t="array" ref="E182">_xlfn.XLOOKUP(1, (Лист1!$A182=Лист2!$A$2:$A$505)*(Лист1!$B182=Лист2!$B$2:$B$505),Лист2!$C$2:$C$505)</f>
        <v>36</v>
      </c>
      <c r="F182" s="7" cm="1">
        <f t="array" ref="F182">_xlfn.XLOOKUP(1, (Лист1!$A182=Лист2!$A$2:$A$505)*(Лист1!$B182=Лист2!$B$2:$B$505),Лист2!$D$2:$D$505)</f>
        <v>4384</v>
      </c>
      <c r="G182" s="7" cm="1">
        <f t="array" ref="G182">_xlfn.XLOOKUP(1, (Лист1!$A182=Лист2!$A$2:$A$505)*(Лист1!$B182=Лист2!$B$2:$B$505),Лист2!$E$2:$E$505)</f>
        <v>4025</v>
      </c>
      <c r="H182">
        <f t="shared" si="12"/>
        <v>151503.375</v>
      </c>
      <c r="I182">
        <f t="shared" si="13"/>
        <v>19</v>
      </c>
      <c r="J182">
        <f t="shared" si="14"/>
        <v>36</v>
      </c>
      <c r="K182">
        <f t="shared" si="15"/>
        <v>151503.375</v>
      </c>
      <c r="L182">
        <f t="shared" si="16"/>
        <v>36.142857142857146</v>
      </c>
      <c r="M182">
        <f t="shared" si="17"/>
        <v>150904.54743083002</v>
      </c>
      <c r="O182" s="15"/>
      <c r="P182" s="15"/>
    </row>
    <row r="183" spans="1:16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 cm="1">
        <f t="array" ref="E183">_xlfn.XLOOKUP(1, (Лист1!$A183=Лист2!$A$2:$A$505)*(Лист1!$B183=Лист2!$B$2:$B$505),Лист2!$C$2:$C$505)</f>
        <v>36</v>
      </c>
      <c r="F183" s="7" cm="1">
        <f t="array" ref="F183">_xlfn.XLOOKUP(1, (Лист1!$A183=Лист2!$A$2:$A$505)*(Лист1!$B183=Лист2!$B$2:$B$505),Лист2!$D$2:$D$505)</f>
        <v>5651</v>
      </c>
      <c r="G183" s="7" cm="1">
        <f t="array" ref="G183">_xlfn.XLOOKUP(1, (Лист1!$A183=Лист2!$A$2:$A$505)*(Лист1!$B183=Лист2!$B$2:$B$505),Лист2!$E$2:$E$505)</f>
        <v>5212</v>
      </c>
      <c r="H183">
        <f t="shared" si="12"/>
        <v>199253.25</v>
      </c>
      <c r="I183">
        <f t="shared" si="13"/>
        <v>21</v>
      </c>
      <c r="J183">
        <f t="shared" si="14"/>
        <v>36</v>
      </c>
      <c r="K183">
        <f t="shared" si="15"/>
        <v>199253.25</v>
      </c>
      <c r="L183">
        <f t="shared" si="16"/>
        <v>36.142857142857146</v>
      </c>
      <c r="M183">
        <f t="shared" si="17"/>
        <v>198465.68774703555</v>
      </c>
      <c r="O183" s="15"/>
      <c r="P183" s="15"/>
    </row>
    <row r="184" spans="1:16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 cm="1">
        <f t="array" ref="E184">_xlfn.XLOOKUP(1, (Лист1!$A184=Лист2!$A$2:$A$505)*(Лист1!$B184=Лист2!$B$2:$B$505),Лист2!$C$2:$C$505)</f>
        <v>124</v>
      </c>
      <c r="F184" s="7" cm="1">
        <f t="array" ref="F184">_xlfn.XLOOKUP(1, (Лист1!$A184=Лист2!$A$2:$A$505)*(Лист1!$B184=Лист2!$B$2:$B$505),Лист2!$D$2:$D$505)</f>
        <v>20868</v>
      </c>
      <c r="G184" s="7" cm="1">
        <f t="array" ref="G184">_xlfn.XLOOKUP(1, (Лист1!$A184=Лист2!$A$2:$A$505)*(Лист1!$B184=Лист2!$B$2:$B$505),Лист2!$E$2:$E$505)</f>
        <v>19342</v>
      </c>
      <c r="H184">
        <f t="shared" si="12"/>
        <v>306029.74596774194</v>
      </c>
      <c r="I184">
        <f t="shared" si="13"/>
        <v>22</v>
      </c>
      <c r="J184">
        <f t="shared" si="14"/>
        <v>124</v>
      </c>
      <c r="K184">
        <f t="shared" si="15"/>
        <v>306029.74596774194</v>
      </c>
      <c r="L184">
        <f t="shared" si="16"/>
        <v>124.74285714285715</v>
      </c>
      <c r="M184">
        <f t="shared" si="17"/>
        <v>304207.30588639487</v>
      </c>
      <c r="O184" s="15"/>
      <c r="P184" s="15"/>
    </row>
    <row r="185" spans="1:16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 cm="1">
        <f t="array" ref="E185">_xlfn.XLOOKUP(1, (Лист1!$A185=Лист2!$A$2:$A$505)*(Лист1!$B185=Лист2!$B$2:$B$505),Лист2!$C$2:$C$505)</f>
        <v>36</v>
      </c>
      <c r="F185" s="7" cm="1">
        <f t="array" ref="F185">_xlfn.XLOOKUP(1, (Лист1!$A185=Лист2!$A$2:$A$505)*(Лист1!$B185=Лист2!$B$2:$B$505),Лист2!$D$2:$D$505)</f>
        <v>4641</v>
      </c>
      <c r="G185" s="7" cm="1">
        <f t="array" ref="G185">_xlfn.XLOOKUP(1, (Лист1!$A185=Лист2!$A$2:$A$505)*(Лист1!$B185=Лист2!$B$2:$B$505),Лист2!$E$2:$E$505)</f>
        <v>4274</v>
      </c>
      <c r="H185">
        <f t="shared" si="12"/>
        <v>158462.5</v>
      </c>
      <c r="I185">
        <f t="shared" si="13"/>
        <v>22</v>
      </c>
      <c r="J185">
        <f t="shared" si="14"/>
        <v>36.571428571428569</v>
      </c>
      <c r="K185">
        <f t="shared" si="15"/>
        <v>155986.5234375</v>
      </c>
      <c r="L185">
        <f t="shared" si="16"/>
        <v>36.142857142857146</v>
      </c>
      <c r="M185">
        <f t="shared" si="17"/>
        <v>157836.16600790512</v>
      </c>
      <c r="O185" s="15"/>
      <c r="P185" s="15"/>
    </row>
    <row r="186" spans="1:16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 cm="1">
        <f t="array" ref="E186">_xlfn.XLOOKUP(1, (Лист1!$A186=Лист2!$A$2:$A$505)*(Лист1!$B186=Лист2!$B$2:$B$505),Лист2!$C$2:$C$505)</f>
        <v>36</v>
      </c>
      <c r="F186" s="7" cm="1">
        <f t="array" ref="F186">_xlfn.XLOOKUP(1, (Лист1!$A186=Лист2!$A$2:$A$505)*(Лист1!$B186=Лист2!$B$2:$B$505),Лист2!$D$2:$D$505)</f>
        <v>5143</v>
      </c>
      <c r="G186" s="7" cm="1">
        <f t="array" ref="G186">_xlfn.XLOOKUP(1, (Лист1!$A186=Лист2!$A$2:$A$505)*(Лист1!$B186=Лист2!$B$2:$B$505),Лист2!$E$2:$E$505)</f>
        <v>4715</v>
      </c>
      <c r="H186">
        <f t="shared" si="12"/>
        <v>189433.16666666666</v>
      </c>
      <c r="I186">
        <f t="shared" si="13"/>
        <v>18</v>
      </c>
      <c r="J186">
        <f t="shared" si="14"/>
        <v>36</v>
      </c>
      <c r="K186">
        <f t="shared" si="15"/>
        <v>189433.16666666666</v>
      </c>
      <c r="L186">
        <f t="shared" si="16"/>
        <v>36.142857142857146</v>
      </c>
      <c r="M186">
        <f t="shared" si="17"/>
        <v>188684.418972332</v>
      </c>
      <c r="O186" s="15"/>
      <c r="P186" s="15"/>
    </row>
    <row r="187" spans="1:16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 cm="1">
        <f t="array" ref="E187">_xlfn.XLOOKUP(1, (Лист1!$A187=Лист2!$A$2:$A$505)*(Лист1!$B187=Лист2!$B$2:$B$505),Лист2!$C$2:$C$505)</f>
        <v>36</v>
      </c>
      <c r="F187" s="7" cm="1">
        <f t="array" ref="F187">_xlfn.XLOOKUP(1, (Лист1!$A187=Лист2!$A$2:$A$505)*(Лист1!$B187=Лист2!$B$2:$B$505),Лист2!$D$2:$D$505)</f>
        <v>5746</v>
      </c>
      <c r="G187" s="7" cm="1">
        <f t="array" ref="G187">_xlfn.XLOOKUP(1, (Лист1!$A187=Лист2!$A$2:$A$505)*(Лист1!$B187=Лист2!$B$2:$B$505),Лист2!$E$2:$E$505)</f>
        <v>5277</v>
      </c>
      <c r="H187">
        <f t="shared" si="12"/>
        <v>214613.04166666666</v>
      </c>
      <c r="I187">
        <f t="shared" si="13"/>
        <v>19</v>
      </c>
      <c r="J187">
        <f t="shared" si="14"/>
        <v>36</v>
      </c>
      <c r="K187">
        <f t="shared" si="15"/>
        <v>214613.04166666666</v>
      </c>
      <c r="L187">
        <f t="shared" si="16"/>
        <v>36.142857142857146</v>
      </c>
      <c r="M187">
        <f t="shared" si="17"/>
        <v>213764.76877470355</v>
      </c>
      <c r="O187" s="15"/>
      <c r="P187" s="15"/>
    </row>
    <row r="188" spans="1:16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 cm="1">
        <f t="array" ref="E188">_xlfn.XLOOKUP(1, (Лист1!$A188=Лист2!$A$2:$A$505)*(Лист1!$B188=Лист2!$B$2:$B$505),Лист2!$C$2:$C$505)</f>
        <v>36</v>
      </c>
      <c r="F188" s="7" cm="1">
        <f t="array" ref="F188">_xlfn.XLOOKUP(1, (Лист1!$A188=Лист2!$A$2:$A$505)*(Лист1!$B188=Лист2!$B$2:$B$505),Лист2!$D$2:$D$505)</f>
        <v>4199</v>
      </c>
      <c r="G188" s="7" cm="1">
        <f t="array" ref="G188">_xlfn.XLOOKUP(1, (Лист1!$A188=Лист2!$A$2:$A$505)*(Лист1!$B188=Лист2!$B$2:$B$505),Лист2!$E$2:$E$505)</f>
        <v>3867</v>
      </c>
      <c r="H188">
        <f t="shared" si="12"/>
        <v>149047.45833333334</v>
      </c>
      <c r="I188">
        <f t="shared" si="13"/>
        <v>19</v>
      </c>
      <c r="J188">
        <f t="shared" si="14"/>
        <v>36</v>
      </c>
      <c r="K188">
        <f t="shared" si="15"/>
        <v>149047.45833333334</v>
      </c>
      <c r="L188">
        <f t="shared" si="16"/>
        <v>36.142857142857146</v>
      </c>
      <c r="M188">
        <f t="shared" si="17"/>
        <v>148458.33794466403</v>
      </c>
      <c r="O188" s="15"/>
      <c r="P188" s="15"/>
    </row>
    <row r="189" spans="1:16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 cm="1">
        <f t="array" ref="E189">_xlfn.XLOOKUP(1, (Лист1!$A189=Лист2!$A$2:$A$505)*(Лист1!$B189=Лист2!$B$2:$B$505),Лист2!$C$2:$C$505)</f>
        <v>36</v>
      </c>
      <c r="F189" s="7" cm="1">
        <f t="array" ref="F189">_xlfn.XLOOKUP(1, (Лист1!$A189=Лист2!$A$2:$A$505)*(Лист1!$B189=Лист2!$B$2:$B$505),Лист2!$D$2:$D$505)</f>
        <v>4826</v>
      </c>
      <c r="G189" s="7" cm="1">
        <f t="array" ref="G189">_xlfn.XLOOKUP(1, (Лист1!$A189=Лист2!$A$2:$A$505)*(Лист1!$B189=Лист2!$B$2:$B$505),Лист2!$E$2:$E$505)</f>
        <v>4426</v>
      </c>
      <c r="H189">
        <f t="shared" si="12"/>
        <v>171551.04166666666</v>
      </c>
      <c r="I189">
        <f t="shared" si="13"/>
        <v>19</v>
      </c>
      <c r="J189">
        <f t="shared" si="14"/>
        <v>36</v>
      </c>
      <c r="K189">
        <f t="shared" si="15"/>
        <v>171551.04166666666</v>
      </c>
      <c r="L189">
        <f t="shared" si="16"/>
        <v>36.142857142857146</v>
      </c>
      <c r="M189">
        <f t="shared" si="17"/>
        <v>170872.97430830039</v>
      </c>
      <c r="O189" s="15"/>
      <c r="P189" s="15"/>
    </row>
    <row r="190" spans="1:16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 cm="1">
        <f t="array" ref="E190">_xlfn.XLOOKUP(1, (Лист1!$A190=Лист2!$A$2:$A$505)*(Лист1!$B190=Лист2!$B$2:$B$505),Лист2!$C$2:$C$505)</f>
        <v>36</v>
      </c>
      <c r="F190" s="7" cm="1">
        <f t="array" ref="F190">_xlfn.XLOOKUP(1, (Лист1!$A190=Лист2!$A$2:$A$505)*(Лист1!$B190=Лист2!$B$2:$B$505),Лист2!$D$2:$D$505)</f>
        <v>4915</v>
      </c>
      <c r="G190" s="7" cm="1">
        <f t="array" ref="G190">_xlfn.XLOOKUP(1, (Лист1!$A190=Лист2!$A$2:$A$505)*(Лист1!$B190=Лист2!$B$2:$B$505),Лист2!$E$2:$E$505)</f>
        <v>4562</v>
      </c>
      <c r="H190">
        <f t="shared" si="12"/>
        <v>169395.45833333334</v>
      </c>
      <c r="I190">
        <f t="shared" si="13"/>
        <v>21</v>
      </c>
      <c r="J190">
        <f t="shared" si="14"/>
        <v>36</v>
      </c>
      <c r="K190">
        <f t="shared" si="15"/>
        <v>169395.45833333334</v>
      </c>
      <c r="L190">
        <f t="shared" si="16"/>
        <v>36.142857142857146</v>
      </c>
      <c r="M190">
        <f t="shared" si="17"/>
        <v>168725.91106719367</v>
      </c>
      <c r="O190" s="15"/>
      <c r="P190" s="15"/>
    </row>
    <row r="191" spans="1:16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 cm="1">
        <f t="array" ref="E191">_xlfn.XLOOKUP(1, (Лист1!$A191=Лист2!$A$2:$A$505)*(Лист1!$B191=Лист2!$B$2:$B$505),Лист2!$C$2:$C$505)</f>
        <v>21</v>
      </c>
      <c r="F191" s="7" cm="1">
        <f t="array" ref="F191">_xlfn.XLOOKUP(1, (Лист1!$A191=Лист2!$A$2:$A$505)*(Лист1!$B191=Лист2!$B$2:$B$505),Лист2!$D$2:$D$505)</f>
        <v>2427</v>
      </c>
      <c r="G191" s="7" cm="1">
        <f t="array" ref="G191">_xlfn.XLOOKUP(1, (Лист1!$A191=Лист2!$A$2:$A$505)*(Лист1!$B191=Лист2!$B$2:$B$505),Лист2!$E$2:$E$505)</f>
        <v>2213</v>
      </c>
      <c r="H191">
        <f t="shared" si="12"/>
        <v>191673.71428571429</v>
      </c>
      <c r="I191">
        <f t="shared" si="13"/>
        <v>20</v>
      </c>
      <c r="J191">
        <f t="shared" si="14"/>
        <v>21</v>
      </c>
      <c r="K191">
        <f t="shared" si="15"/>
        <v>191673.71428571429</v>
      </c>
      <c r="L191">
        <f t="shared" si="16"/>
        <v>20.885714285714286</v>
      </c>
      <c r="M191">
        <f t="shared" si="17"/>
        <v>192722.54445964433</v>
      </c>
      <c r="O191" s="15"/>
      <c r="P191" s="15"/>
    </row>
    <row r="192" spans="1:16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 cm="1">
        <f t="array" ref="E192">_xlfn.XLOOKUP(1, (Лист1!$A192=Лист2!$A$2:$A$505)*(Лист1!$B192=Лист2!$B$2:$B$505),Лист2!$C$2:$C$505)</f>
        <v>21</v>
      </c>
      <c r="F192" s="7" cm="1">
        <f t="array" ref="F192">_xlfn.XLOOKUP(1, (Лист1!$A192=Лист2!$A$2:$A$505)*(Лист1!$B192=Лист2!$B$2:$B$505),Лист2!$D$2:$D$505)</f>
        <v>2245</v>
      </c>
      <c r="G192" s="7" cm="1">
        <f t="array" ref="G192">_xlfn.XLOOKUP(1, (Лист1!$A192=Лист2!$A$2:$A$505)*(Лист1!$B192=Лист2!$B$2:$B$505),Лист2!$E$2:$E$505)</f>
        <v>2053</v>
      </c>
      <c r="H192">
        <f t="shared" si="12"/>
        <v>169187.5</v>
      </c>
      <c r="I192">
        <f t="shared" si="13"/>
        <v>21</v>
      </c>
      <c r="J192">
        <f t="shared" si="14"/>
        <v>21</v>
      </c>
      <c r="K192">
        <f t="shared" si="15"/>
        <v>169187.5</v>
      </c>
      <c r="L192">
        <f t="shared" si="16"/>
        <v>20.885714285714286</v>
      </c>
      <c r="M192">
        <f t="shared" si="17"/>
        <v>170113.28659370725</v>
      </c>
      <c r="O192" s="15"/>
      <c r="P192" s="15"/>
    </row>
    <row r="193" spans="1:16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 cm="1">
        <f t="array" ref="E193">_xlfn.XLOOKUP(1, (Лист1!$A193=Лист2!$A$2:$A$505)*(Лист1!$B193=Лист2!$B$2:$B$505),Лист2!$C$2:$C$505)</f>
        <v>21</v>
      </c>
      <c r="F193" s="7" cm="1">
        <f t="array" ref="F193">_xlfn.XLOOKUP(1, (Лист1!$A193=Лист2!$A$2:$A$505)*(Лист1!$B193=Лист2!$B$2:$B$505),Лист2!$D$2:$D$505)</f>
        <v>2054</v>
      </c>
      <c r="G193" s="7" cm="1">
        <f t="array" ref="G193">_xlfn.XLOOKUP(1, (Лист1!$A193=Лист2!$A$2:$A$505)*(Лист1!$B193=Лист2!$B$2:$B$505),Лист2!$E$2:$E$505)</f>
        <v>1883</v>
      </c>
      <c r="H193">
        <f t="shared" si="12"/>
        <v>151959.78571428571</v>
      </c>
      <c r="I193">
        <f t="shared" si="13"/>
        <v>20</v>
      </c>
      <c r="J193">
        <f t="shared" si="14"/>
        <v>21</v>
      </c>
      <c r="K193">
        <f t="shared" si="15"/>
        <v>151959.78571428571</v>
      </c>
      <c r="L193">
        <f t="shared" si="16"/>
        <v>20.885714285714286</v>
      </c>
      <c r="M193">
        <f t="shared" si="17"/>
        <v>152791.30300957593</v>
      </c>
      <c r="O193" s="15"/>
      <c r="P193" s="15"/>
    </row>
    <row r="194" spans="1:16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 cm="1">
        <f t="array" ref="E194">_xlfn.XLOOKUP(1, (Лист1!$A194=Лист2!$A$2:$A$505)*(Лист1!$B194=Лист2!$B$2:$B$505),Лист2!$C$2:$C$505)</f>
        <v>21</v>
      </c>
      <c r="F194" s="7" cm="1">
        <f t="array" ref="F194">_xlfn.XLOOKUP(1, (Лист1!$A194=Лист2!$A$2:$A$505)*(Лист1!$B194=Лист2!$B$2:$B$505),Лист2!$D$2:$D$505)</f>
        <v>1891</v>
      </c>
      <c r="G194" s="7" cm="1">
        <f t="array" ref="G194">_xlfn.XLOOKUP(1, (Лист1!$A194=Лист2!$A$2:$A$505)*(Лист1!$B194=Лист2!$B$2:$B$505),Лист2!$E$2:$E$505)</f>
        <v>1709</v>
      </c>
      <c r="H194">
        <f t="shared" si="12"/>
        <v>146899.64285714287</v>
      </c>
      <c r="I194">
        <f t="shared" si="13"/>
        <v>19</v>
      </c>
      <c r="J194">
        <f t="shared" si="14"/>
        <v>20.571428571428573</v>
      </c>
      <c r="K194">
        <f t="shared" si="15"/>
        <v>149960.05208333331</v>
      </c>
      <c r="L194">
        <f t="shared" si="16"/>
        <v>20.885714285714286</v>
      </c>
      <c r="M194">
        <f t="shared" si="17"/>
        <v>147703.47127222983</v>
      </c>
      <c r="O194" s="15"/>
      <c r="P194" s="15"/>
    </row>
    <row r="195" spans="1:16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 cm="1">
        <f t="array" ref="E195">_xlfn.XLOOKUP(1, (Лист1!$A195=Лист2!$A$2:$A$505)*(Лист1!$B195=Лист2!$B$2:$B$505),Лист2!$C$2:$C$505)</f>
        <v>20</v>
      </c>
      <c r="F195" s="7" cm="1">
        <f t="array" ref="F195">_xlfn.XLOOKUP(1, (Лист1!$A195=Лист2!$A$2:$A$505)*(Лист1!$B195=Лист2!$B$2:$B$505),Лист2!$D$2:$D$505)</f>
        <v>1804</v>
      </c>
      <c r="G195" s="7" cm="1">
        <f t="array" ref="G195">_xlfn.XLOOKUP(1, (Лист1!$A195=Лист2!$A$2:$A$505)*(Лист1!$B195=Лист2!$B$2:$B$505),Лист2!$E$2:$E$505)</f>
        <v>1638</v>
      </c>
      <c r="H195">
        <f t="shared" ref="H195:H258" si="18">$D195/$E195</f>
        <v>140892.67499999999</v>
      </c>
      <c r="I195">
        <f t="shared" ref="I195:I258" si="19">WEEKNUM($A195,2)</f>
        <v>19</v>
      </c>
      <c r="J195">
        <f t="shared" ref="J195:J258" si="20">AVERAGEIFS($E$2:$E$505,$I$2:$I$505,$I195,$B$2:$B$505,$B195)</f>
        <v>20.571428571428573</v>
      </c>
      <c r="K195">
        <f t="shared" ref="K195:K258" si="21">$D195/$J195</f>
        <v>136978.98958333331</v>
      </c>
      <c r="L195">
        <f t="shared" ref="L195:L258" si="22">AVERAGEIFS($E$2:$E$505,$B$2:$B$505,$B195)</f>
        <v>20.885714285714286</v>
      </c>
      <c r="M195">
        <f t="shared" ref="M195:M258" si="23">$D195/$L195</f>
        <v>134917.74623803009</v>
      </c>
      <c r="O195" s="15"/>
      <c r="P195" s="15"/>
    </row>
    <row r="196" spans="1:16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 cm="1">
        <f t="array" ref="E196">_xlfn.XLOOKUP(1, (Лист1!$A196=Лист2!$A$2:$A$505)*(Лист1!$B196=Лист2!$B$2:$B$505),Лист2!$C$2:$C$505)</f>
        <v>19</v>
      </c>
      <c r="F196" s="7" cm="1">
        <f t="array" ref="F196">_xlfn.XLOOKUP(1, (Лист1!$A196=Лист2!$A$2:$A$505)*(Лист1!$B196=Лист2!$B$2:$B$505),Лист2!$D$2:$D$505)</f>
        <v>1676</v>
      </c>
      <c r="G196" s="7" cm="1">
        <f t="array" ref="G196">_xlfn.XLOOKUP(1, (Лист1!$A196=Лист2!$A$2:$A$505)*(Лист1!$B196=Лист2!$B$2:$B$505),Лист2!$E$2:$E$505)</f>
        <v>1516</v>
      </c>
      <c r="H196">
        <f t="shared" si="18"/>
        <v>138294.47368421053</v>
      </c>
      <c r="I196">
        <f t="shared" si="19"/>
        <v>18</v>
      </c>
      <c r="J196">
        <f t="shared" si="20"/>
        <v>19.666666666666668</v>
      </c>
      <c r="K196">
        <f t="shared" si="21"/>
        <v>133606.5254237288</v>
      </c>
      <c r="L196">
        <f t="shared" si="22"/>
        <v>20.885714285714286</v>
      </c>
      <c r="M196">
        <f t="shared" si="23"/>
        <v>125808.24213406292</v>
      </c>
      <c r="O196" s="15"/>
      <c r="P196" s="15"/>
    </row>
    <row r="197" spans="1:16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 cm="1">
        <f t="array" ref="E197">_xlfn.XLOOKUP(1, (Лист1!$A197=Лист2!$A$2:$A$505)*(Лист1!$B197=Лист2!$B$2:$B$505),Лист2!$C$2:$C$505)</f>
        <v>20</v>
      </c>
      <c r="F197" s="7" cm="1">
        <f t="array" ref="F197">_xlfn.XLOOKUP(1, (Лист1!$A197=Лист2!$A$2:$A$505)*(Лист1!$B197=Лист2!$B$2:$B$505),Лист2!$D$2:$D$505)</f>
        <v>1613</v>
      </c>
      <c r="G197" s="7" cm="1">
        <f t="array" ref="G197">_xlfn.XLOOKUP(1, (Лист1!$A197=Лист2!$A$2:$A$505)*(Лист1!$B197=Лист2!$B$2:$B$505),Лист2!$E$2:$E$505)</f>
        <v>1457</v>
      </c>
      <c r="H197">
        <f t="shared" si="18"/>
        <v>123523.27499999999</v>
      </c>
      <c r="I197">
        <f t="shared" si="19"/>
        <v>18</v>
      </c>
      <c r="J197">
        <f t="shared" si="20"/>
        <v>19.666666666666668</v>
      </c>
      <c r="K197">
        <f t="shared" si="21"/>
        <v>125616.88983050847</v>
      </c>
      <c r="L197">
        <f t="shared" si="22"/>
        <v>20.885714285714286</v>
      </c>
      <c r="M197">
        <f t="shared" si="23"/>
        <v>118284.94186046511</v>
      </c>
      <c r="O197" s="15"/>
      <c r="P197" s="15"/>
    </row>
    <row r="198" spans="1:16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 cm="1">
        <f t="array" ref="E198">_xlfn.XLOOKUP(1, (Лист1!$A198=Лист2!$A$2:$A$505)*(Лист1!$B198=Лист2!$B$2:$B$505),Лист2!$C$2:$C$505)</f>
        <v>21</v>
      </c>
      <c r="F198" s="7" cm="1">
        <f t="array" ref="F198">_xlfn.XLOOKUP(1, (Лист1!$A198=Лист2!$A$2:$A$505)*(Лист1!$B198=Лист2!$B$2:$B$505),Лист2!$D$2:$D$505)</f>
        <v>2418</v>
      </c>
      <c r="G198" s="7" cm="1">
        <f t="array" ref="G198">_xlfn.XLOOKUP(1, (Лист1!$A198=Лист2!$A$2:$A$505)*(Лист1!$B198=Лист2!$B$2:$B$505),Лист2!$E$2:$E$505)</f>
        <v>2215</v>
      </c>
      <c r="H198">
        <f t="shared" si="18"/>
        <v>176205.28571428571</v>
      </c>
      <c r="I198">
        <f t="shared" si="19"/>
        <v>22</v>
      </c>
      <c r="J198">
        <f t="shared" si="20"/>
        <v>21.714285714285715</v>
      </c>
      <c r="K198">
        <f t="shared" si="21"/>
        <v>170409.05921052632</v>
      </c>
      <c r="L198">
        <f t="shared" si="22"/>
        <v>20.885714285714286</v>
      </c>
      <c r="M198">
        <f t="shared" si="23"/>
        <v>177169.47332421341</v>
      </c>
      <c r="O198" s="15"/>
      <c r="P198" s="15"/>
    </row>
    <row r="199" spans="1:16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 cm="1">
        <f t="array" ref="E199">_xlfn.XLOOKUP(1, (Лист1!$A199=Лист2!$A$2:$A$505)*(Лист1!$B199=Лист2!$B$2:$B$505),Лист2!$C$2:$C$505)</f>
        <v>20</v>
      </c>
      <c r="F199" s="7" cm="1">
        <f t="array" ref="F199">_xlfn.XLOOKUP(1, (Лист1!$A199=Лист2!$A$2:$A$505)*(Лист1!$B199=Лист2!$B$2:$B$505),Лист2!$D$2:$D$505)</f>
        <v>2468</v>
      </c>
      <c r="G199" s="7" cm="1">
        <f t="array" ref="G199">_xlfn.XLOOKUP(1, (Лист1!$A199=Лист2!$A$2:$A$505)*(Лист1!$B199=Лист2!$B$2:$B$505),Лист2!$E$2:$E$505)</f>
        <v>2221</v>
      </c>
      <c r="H199">
        <f t="shared" si="18"/>
        <v>214662.07500000001</v>
      </c>
      <c r="I199">
        <f t="shared" si="19"/>
        <v>18</v>
      </c>
      <c r="J199">
        <f t="shared" si="20"/>
        <v>19.666666666666668</v>
      </c>
      <c r="K199">
        <f t="shared" si="21"/>
        <v>218300.41525423728</v>
      </c>
      <c r="L199">
        <f t="shared" si="22"/>
        <v>20.885714285714286</v>
      </c>
      <c r="M199">
        <f t="shared" si="23"/>
        <v>205558.7585499316</v>
      </c>
      <c r="O199" s="15"/>
      <c r="P199" s="15"/>
    </row>
    <row r="200" spans="1:16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 cm="1">
        <f t="array" ref="E200">_xlfn.XLOOKUP(1, (Лист1!$A200=Лист2!$A$2:$A$505)*(Лист1!$B200=Лист2!$B$2:$B$505),Лист2!$C$2:$C$505)</f>
        <v>21</v>
      </c>
      <c r="F200" s="7" cm="1">
        <f t="array" ref="F200">_xlfn.XLOOKUP(1, (Лист1!$A200=Лист2!$A$2:$A$505)*(Лист1!$B200=Лист2!$B$2:$B$505),Лист2!$D$2:$D$505)</f>
        <v>1926</v>
      </c>
      <c r="G200" s="7" cm="1">
        <f t="array" ref="G200">_xlfn.XLOOKUP(1, (Лист1!$A200=Лист2!$A$2:$A$505)*(Лист1!$B200=Лист2!$B$2:$B$505),Лист2!$E$2:$E$505)</f>
        <v>1745</v>
      </c>
      <c r="H200">
        <f t="shared" si="18"/>
        <v>146695.92857142858</v>
      </c>
      <c r="I200">
        <f t="shared" si="19"/>
        <v>20</v>
      </c>
      <c r="J200">
        <f t="shared" si="20"/>
        <v>21</v>
      </c>
      <c r="K200">
        <f t="shared" si="21"/>
        <v>146695.92857142858</v>
      </c>
      <c r="L200">
        <f t="shared" si="22"/>
        <v>20.885714285714286</v>
      </c>
      <c r="M200">
        <f t="shared" si="23"/>
        <v>147498.64227086183</v>
      </c>
      <c r="O200" s="15"/>
      <c r="P200" s="15"/>
    </row>
    <row r="201" spans="1:16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 cm="1">
        <f t="array" ref="E201">_xlfn.XLOOKUP(1, (Лист1!$A201=Лист2!$A$2:$A$505)*(Лист1!$B201=Лист2!$B$2:$B$505),Лист2!$C$2:$C$505)</f>
        <v>21</v>
      </c>
      <c r="F201" s="7" cm="1">
        <f t="array" ref="F201">_xlfn.XLOOKUP(1, (Лист1!$A201=Лист2!$A$2:$A$505)*(Лист1!$B201=Лист2!$B$2:$B$505),Лист2!$D$2:$D$505)</f>
        <v>2335</v>
      </c>
      <c r="G201" s="7" cm="1">
        <f t="array" ref="G201">_xlfn.XLOOKUP(1, (Лист1!$A201=Лист2!$A$2:$A$505)*(Лист1!$B201=Лист2!$B$2:$B$505),Лист2!$E$2:$E$505)</f>
        <v>2126</v>
      </c>
      <c r="H201">
        <f t="shared" si="18"/>
        <v>181447.35714285713</v>
      </c>
      <c r="I201">
        <f t="shared" si="19"/>
        <v>21</v>
      </c>
      <c r="J201">
        <f t="shared" si="20"/>
        <v>21</v>
      </c>
      <c r="K201">
        <f t="shared" si="21"/>
        <v>181447.35714285713</v>
      </c>
      <c r="L201">
        <f t="shared" si="22"/>
        <v>20.885714285714286</v>
      </c>
      <c r="M201">
        <f t="shared" si="23"/>
        <v>182440.22913816691</v>
      </c>
      <c r="O201" s="15"/>
      <c r="P201" s="15"/>
    </row>
    <row r="202" spans="1:16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 cm="1">
        <f t="array" ref="E202">_xlfn.XLOOKUP(1, (Лист1!$A202=Лист2!$A$2:$A$505)*(Лист1!$B202=Лист2!$B$2:$B$505),Лист2!$C$2:$C$505)</f>
        <v>21</v>
      </c>
      <c r="F202" s="7" cm="1">
        <f t="array" ref="F202">_xlfn.XLOOKUP(1, (Лист1!$A202=Лист2!$A$2:$A$505)*(Лист1!$B202=Лист2!$B$2:$B$505),Лист2!$D$2:$D$505)</f>
        <v>2410</v>
      </c>
      <c r="G202" s="7" cm="1">
        <f t="array" ref="G202">_xlfn.XLOOKUP(1, (Лист1!$A202=Лист2!$A$2:$A$505)*(Лист1!$B202=Лист2!$B$2:$B$505),Лист2!$E$2:$E$505)</f>
        <v>2202</v>
      </c>
      <c r="H202">
        <f t="shared" si="18"/>
        <v>186618.42857142858</v>
      </c>
      <c r="I202">
        <f t="shared" si="19"/>
        <v>21</v>
      </c>
      <c r="J202">
        <f t="shared" si="20"/>
        <v>21</v>
      </c>
      <c r="K202">
        <f t="shared" si="21"/>
        <v>186618.42857142858</v>
      </c>
      <c r="L202">
        <f t="shared" si="22"/>
        <v>20.885714285714286</v>
      </c>
      <c r="M202">
        <f t="shared" si="23"/>
        <v>187639.59644322845</v>
      </c>
      <c r="O202" s="15"/>
      <c r="P202" s="15"/>
    </row>
    <row r="203" spans="1:16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 cm="1">
        <f t="array" ref="E203">_xlfn.XLOOKUP(1, (Лист1!$A203=Лист2!$A$2:$A$505)*(Лист1!$B203=Лист2!$B$2:$B$505),Лист2!$C$2:$C$505)</f>
        <v>20</v>
      </c>
      <c r="F203" s="7" cm="1">
        <f t="array" ref="F203">_xlfn.XLOOKUP(1, (Лист1!$A203=Лист2!$A$2:$A$505)*(Лист1!$B203=Лист2!$B$2:$B$505),Лист2!$D$2:$D$505)</f>
        <v>1757</v>
      </c>
      <c r="G203" s="7" cm="1">
        <f t="array" ref="G203">_xlfn.XLOOKUP(1, (Лист1!$A203=Лист2!$A$2:$A$505)*(Лист1!$B203=Лист2!$B$2:$B$505),Лист2!$E$2:$E$505)</f>
        <v>1596</v>
      </c>
      <c r="H203">
        <f t="shared" si="18"/>
        <v>132434.4</v>
      </c>
      <c r="I203">
        <f t="shared" si="19"/>
        <v>19</v>
      </c>
      <c r="J203">
        <f t="shared" si="20"/>
        <v>20.571428571428573</v>
      </c>
      <c r="K203">
        <f t="shared" si="21"/>
        <v>128755.66666666666</v>
      </c>
      <c r="L203">
        <f t="shared" si="22"/>
        <v>20.885714285714286</v>
      </c>
      <c r="M203">
        <f t="shared" si="23"/>
        <v>126818.16689466484</v>
      </c>
      <c r="O203" s="15"/>
      <c r="P203" s="15"/>
    </row>
    <row r="204" spans="1:16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 cm="1">
        <f t="array" ref="E204">_xlfn.XLOOKUP(1, (Лист1!$A204=Лист2!$A$2:$A$505)*(Лист1!$B204=Лист2!$B$2:$B$505),Лист2!$C$2:$C$505)</f>
        <v>19</v>
      </c>
      <c r="F204" s="7" cm="1">
        <f t="array" ref="F204">_xlfn.XLOOKUP(1, (Лист1!$A204=Лист2!$A$2:$A$505)*(Лист1!$B204=Лист2!$B$2:$B$505),Лист2!$D$2:$D$505)</f>
        <v>1846</v>
      </c>
      <c r="G204" s="7" cm="1">
        <f t="array" ref="G204">_xlfn.XLOOKUP(1, (Лист1!$A204=Лист2!$A$2:$A$505)*(Лист1!$B204=Лист2!$B$2:$B$505),Лист2!$E$2:$E$505)</f>
        <v>1681</v>
      </c>
      <c r="H204">
        <f t="shared" si="18"/>
        <v>150715.81578947368</v>
      </c>
      <c r="I204">
        <f t="shared" si="19"/>
        <v>18</v>
      </c>
      <c r="J204">
        <f t="shared" si="20"/>
        <v>19.666666666666668</v>
      </c>
      <c r="K204">
        <f t="shared" si="21"/>
        <v>145606.80508474575</v>
      </c>
      <c r="L204">
        <f t="shared" si="22"/>
        <v>20.885714285714286</v>
      </c>
      <c r="M204">
        <f t="shared" si="23"/>
        <v>137108.0950752394</v>
      </c>
      <c r="O204" s="15"/>
      <c r="P204" s="15"/>
    </row>
    <row r="205" spans="1:16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 cm="1">
        <f t="array" ref="E205">_xlfn.XLOOKUP(1, (Лист1!$A205=Лист2!$A$2:$A$505)*(Лист1!$B205=Лист2!$B$2:$B$505),Лист2!$C$2:$C$505)</f>
        <v>21</v>
      </c>
      <c r="F205" s="7" cm="1">
        <f t="array" ref="F205">_xlfn.XLOOKUP(1, (Лист1!$A205=Лист2!$A$2:$A$505)*(Лист1!$B205=Лист2!$B$2:$B$505),Лист2!$D$2:$D$505)</f>
        <v>2061</v>
      </c>
      <c r="G205" s="7" cm="1">
        <f t="array" ref="G205">_xlfn.XLOOKUP(1, (Лист1!$A205=Лист2!$A$2:$A$505)*(Лист1!$B205=Лист2!$B$2:$B$505),Лист2!$E$2:$E$505)</f>
        <v>1876</v>
      </c>
      <c r="H205">
        <f t="shared" si="18"/>
        <v>156574.71428571429</v>
      </c>
      <c r="I205">
        <f t="shared" si="19"/>
        <v>20</v>
      </c>
      <c r="J205">
        <f t="shared" si="20"/>
        <v>21</v>
      </c>
      <c r="K205">
        <f t="shared" si="21"/>
        <v>156574.71428571429</v>
      </c>
      <c r="L205">
        <f t="shared" si="22"/>
        <v>20.885714285714286</v>
      </c>
      <c r="M205">
        <f t="shared" si="23"/>
        <v>157431.48426812585</v>
      </c>
      <c r="O205" s="15"/>
      <c r="P205" s="15"/>
    </row>
    <row r="206" spans="1:16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 cm="1">
        <f t="array" ref="E206">_xlfn.XLOOKUP(1, (Лист1!$A206=Лист2!$A$2:$A$505)*(Лист1!$B206=Лист2!$B$2:$B$505),Лист2!$C$2:$C$505)</f>
        <v>37</v>
      </c>
      <c r="F206" s="7" cm="1">
        <f t="array" ref="F206">_xlfn.XLOOKUP(1, (Лист1!$A206=Лист2!$A$2:$A$505)*(Лист1!$B206=Лист2!$B$2:$B$505),Лист2!$D$2:$D$505)</f>
        <v>5215</v>
      </c>
      <c r="G206" s="7" cm="1">
        <f t="array" ref="G206">_xlfn.XLOOKUP(1, (Лист1!$A206=Лист2!$A$2:$A$505)*(Лист1!$B206=Лист2!$B$2:$B$505),Лист2!$E$2:$E$505)</f>
        <v>4848</v>
      </c>
      <c r="H206">
        <f t="shared" si="18"/>
        <v>175698.60810810811</v>
      </c>
      <c r="I206">
        <f t="shared" si="19"/>
        <v>22</v>
      </c>
      <c r="J206">
        <f t="shared" si="20"/>
        <v>36.571428571428569</v>
      </c>
      <c r="K206">
        <f t="shared" si="21"/>
        <v>177757.576171875</v>
      </c>
      <c r="L206">
        <f t="shared" si="22"/>
        <v>36.142857142857146</v>
      </c>
      <c r="M206">
        <f t="shared" si="23"/>
        <v>179865.37351778656</v>
      </c>
      <c r="O206" s="15"/>
      <c r="P206" s="15"/>
    </row>
    <row r="207" spans="1:16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 cm="1">
        <f t="array" ref="E207">_xlfn.XLOOKUP(1, (Лист1!$A207=Лист2!$A$2:$A$505)*(Лист1!$B207=Лист2!$B$2:$B$505),Лист2!$C$2:$C$505)</f>
        <v>20</v>
      </c>
      <c r="F207" s="7" cm="1">
        <f t="array" ref="F207">_xlfn.XLOOKUP(1, (Лист1!$A207=Лист2!$A$2:$A$505)*(Лист1!$B207=Лист2!$B$2:$B$505),Лист2!$D$2:$D$505)</f>
        <v>1716</v>
      </c>
      <c r="G207" s="7" cm="1">
        <f t="array" ref="G207">_xlfn.XLOOKUP(1, (Лист1!$A207=Лист2!$A$2:$A$505)*(Лист1!$B207=Лист2!$B$2:$B$505),Лист2!$E$2:$E$505)</f>
        <v>1561</v>
      </c>
      <c r="H207">
        <f t="shared" si="18"/>
        <v>136000.125</v>
      </c>
      <c r="I207">
        <f t="shared" si="19"/>
        <v>18</v>
      </c>
      <c r="J207">
        <f t="shared" si="20"/>
        <v>19.666666666666668</v>
      </c>
      <c r="K207">
        <f t="shared" si="21"/>
        <v>138305.21186440677</v>
      </c>
      <c r="L207">
        <f t="shared" si="22"/>
        <v>20.885714285714286</v>
      </c>
      <c r="M207">
        <f t="shared" si="23"/>
        <v>130232.67783857729</v>
      </c>
      <c r="O207" s="15"/>
      <c r="P207" s="15"/>
    </row>
    <row r="208" spans="1:16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 cm="1">
        <f t="array" ref="E208">_xlfn.XLOOKUP(1, (Лист1!$A208=Лист2!$A$2:$A$505)*(Лист1!$B208=Лист2!$B$2:$B$505),Лист2!$C$2:$C$505)</f>
        <v>37</v>
      </c>
      <c r="F208" s="7" cm="1">
        <f t="array" ref="F208">_xlfn.XLOOKUP(1, (Лист1!$A208=Лист2!$A$2:$A$505)*(Лист1!$B208=Лист2!$B$2:$B$505),Лист2!$D$2:$D$505)</f>
        <v>6645</v>
      </c>
      <c r="G208" s="7" cm="1">
        <f t="array" ref="G208">_xlfn.XLOOKUP(1, (Лист1!$A208=Лист2!$A$2:$A$505)*(Лист1!$B208=Лист2!$B$2:$B$505),Лист2!$E$2:$E$505)</f>
        <v>6122</v>
      </c>
      <c r="H208">
        <f t="shared" si="18"/>
        <v>245902.33783783784</v>
      </c>
      <c r="I208">
        <f t="shared" si="19"/>
        <v>22</v>
      </c>
      <c r="J208">
        <f t="shared" si="20"/>
        <v>36.571428571428569</v>
      </c>
      <c r="K208">
        <f t="shared" si="21"/>
        <v>248784.005859375</v>
      </c>
      <c r="L208">
        <f t="shared" si="22"/>
        <v>36.142857142857146</v>
      </c>
      <c r="M208">
        <f t="shared" si="23"/>
        <v>251734.01383399207</v>
      </c>
      <c r="O208" s="15"/>
      <c r="P208" s="15"/>
    </row>
    <row r="209" spans="1:16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 cm="1">
        <f t="array" ref="E209">_xlfn.XLOOKUP(1, (Лист1!$A209=Лист2!$A$2:$A$505)*(Лист1!$B209=Лист2!$B$2:$B$505),Лист2!$C$2:$C$505)</f>
        <v>20</v>
      </c>
      <c r="F209" s="7" cm="1">
        <f t="array" ref="F209">_xlfn.XLOOKUP(1, (Лист1!$A209=Лист2!$A$2:$A$505)*(Лист1!$B209=Лист2!$B$2:$B$505),Лист2!$D$2:$D$505)</f>
        <v>1747</v>
      </c>
      <c r="G209" s="7" cm="1">
        <f t="array" ref="G209">_xlfn.XLOOKUP(1, (Лист1!$A209=Лист2!$A$2:$A$505)*(Лист1!$B209=Лист2!$B$2:$B$505),Лист2!$E$2:$E$505)</f>
        <v>1570</v>
      </c>
      <c r="H209">
        <f t="shared" si="18"/>
        <v>136906.35</v>
      </c>
      <c r="I209">
        <f t="shared" si="19"/>
        <v>19</v>
      </c>
      <c r="J209">
        <f t="shared" si="20"/>
        <v>20.571428571428573</v>
      </c>
      <c r="K209">
        <f t="shared" si="21"/>
        <v>133103.39583333331</v>
      </c>
      <c r="L209">
        <f t="shared" si="22"/>
        <v>20.885714285714286</v>
      </c>
      <c r="M209">
        <f t="shared" si="23"/>
        <v>131100.47195622436</v>
      </c>
      <c r="O209" s="15"/>
      <c r="P209" s="15"/>
    </row>
    <row r="210" spans="1:16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 cm="1">
        <f t="array" ref="E210">_xlfn.XLOOKUP(1, (Лист1!$A210=Лист2!$A$2:$A$505)*(Лист1!$B210=Лист2!$B$2:$B$505),Лист2!$C$2:$C$505)</f>
        <v>21</v>
      </c>
      <c r="F210" s="7" cm="1">
        <f t="array" ref="F210">_xlfn.XLOOKUP(1, (Лист1!$A210=Лист2!$A$2:$A$505)*(Лист1!$B210=Лист2!$B$2:$B$505),Лист2!$D$2:$D$505)</f>
        <v>2460</v>
      </c>
      <c r="G210" s="7" cm="1">
        <f t="array" ref="G210">_xlfn.XLOOKUP(1, (Лист1!$A210=Лист2!$A$2:$A$505)*(Лист1!$B210=Лист2!$B$2:$B$505),Лист2!$E$2:$E$505)</f>
        <v>2226</v>
      </c>
      <c r="H210">
        <f t="shared" si="18"/>
        <v>184915</v>
      </c>
      <c r="I210">
        <f t="shared" si="19"/>
        <v>21</v>
      </c>
      <c r="J210">
        <f t="shared" si="20"/>
        <v>21</v>
      </c>
      <c r="K210">
        <f t="shared" si="21"/>
        <v>184915</v>
      </c>
      <c r="L210">
        <f t="shared" si="22"/>
        <v>20.885714285714286</v>
      </c>
      <c r="M210">
        <f t="shared" si="23"/>
        <v>185926.8467852257</v>
      </c>
      <c r="O210" s="15"/>
      <c r="P210" s="15"/>
    </row>
    <row r="211" spans="1:16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 cm="1">
        <f t="array" ref="E211">_xlfn.XLOOKUP(1, (Лист1!$A211=Лист2!$A$2:$A$505)*(Лист1!$B211=Лист2!$B$2:$B$505),Лист2!$C$2:$C$505)</f>
        <v>37</v>
      </c>
      <c r="F211" s="7" cm="1">
        <f t="array" ref="F211">_xlfn.XLOOKUP(1, (Лист1!$A211=Лист2!$A$2:$A$505)*(Лист1!$B211=Лист2!$B$2:$B$505),Лист2!$D$2:$D$505)</f>
        <v>4840</v>
      </c>
      <c r="G211" s="7" cm="1">
        <f t="array" ref="G211">_xlfn.XLOOKUP(1, (Лист1!$A211=Лист2!$A$2:$A$505)*(Лист1!$B211=Лист2!$B$2:$B$505),Лист2!$E$2:$E$505)</f>
        <v>4475</v>
      </c>
      <c r="H211">
        <f t="shared" si="18"/>
        <v>164917.05405405405</v>
      </c>
      <c r="I211">
        <f t="shared" si="19"/>
        <v>22</v>
      </c>
      <c r="J211">
        <f t="shared" si="20"/>
        <v>36.571428571428569</v>
      </c>
      <c r="K211">
        <f t="shared" si="21"/>
        <v>166849.67578125</v>
      </c>
      <c r="L211">
        <f t="shared" si="22"/>
        <v>36.142857142857146</v>
      </c>
      <c r="M211">
        <f t="shared" si="23"/>
        <v>168828.13043478259</v>
      </c>
      <c r="O211" s="15"/>
      <c r="P211" s="15"/>
    </row>
    <row r="212" spans="1:16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 cm="1">
        <f t="array" ref="E212">_xlfn.XLOOKUP(1, (Лист1!$A212=Лист2!$A$2:$A$505)*(Лист1!$B212=Лист2!$B$2:$B$505),Лист2!$C$2:$C$505)</f>
        <v>21</v>
      </c>
      <c r="F212" s="7" cm="1">
        <f t="array" ref="F212">_xlfn.XLOOKUP(1, (Лист1!$A212=Лист2!$A$2:$A$505)*(Лист1!$B212=Лист2!$B$2:$B$505),Лист2!$D$2:$D$505)</f>
        <v>2330</v>
      </c>
      <c r="G212" s="7" cm="1">
        <f t="array" ref="G212">_xlfn.XLOOKUP(1, (Лист1!$A212=Лист2!$A$2:$A$505)*(Лист1!$B212=Лист2!$B$2:$B$505),Лист2!$E$2:$E$505)</f>
        <v>2142</v>
      </c>
      <c r="H212">
        <f t="shared" si="18"/>
        <v>169602.64285714287</v>
      </c>
      <c r="I212">
        <f t="shared" si="19"/>
        <v>22</v>
      </c>
      <c r="J212">
        <f t="shared" si="20"/>
        <v>21.714285714285715</v>
      </c>
      <c r="K212">
        <f t="shared" si="21"/>
        <v>164023.60855263157</v>
      </c>
      <c r="L212">
        <f t="shared" si="22"/>
        <v>20.885714285714286</v>
      </c>
      <c r="M212">
        <f t="shared" si="23"/>
        <v>170530.70109439123</v>
      </c>
      <c r="O212" s="15"/>
      <c r="P212" s="15"/>
    </row>
    <row r="213" spans="1:16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 cm="1">
        <f t="array" ref="E213">_xlfn.XLOOKUP(1, (Лист1!$A213=Лист2!$A$2:$A$505)*(Лист1!$B213=Лист2!$B$2:$B$505),Лист2!$C$2:$C$505)</f>
        <v>20</v>
      </c>
      <c r="F213" s="7" cm="1">
        <f t="array" ref="F213">_xlfn.XLOOKUP(1, (Лист1!$A213=Лист2!$A$2:$A$505)*(Лист1!$B213=Лист2!$B$2:$B$505),Лист2!$D$2:$D$505)</f>
        <v>1756</v>
      </c>
      <c r="G213" s="7" cm="1">
        <f t="array" ref="G213">_xlfn.XLOOKUP(1, (Лист1!$A213=Лист2!$A$2:$A$505)*(Лист1!$B213=Лист2!$B$2:$B$505),Лист2!$E$2:$E$505)</f>
        <v>1586</v>
      </c>
      <c r="H213">
        <f t="shared" si="18"/>
        <v>142665.52499999999</v>
      </c>
      <c r="I213">
        <f t="shared" si="19"/>
        <v>18</v>
      </c>
      <c r="J213">
        <f t="shared" si="20"/>
        <v>19.666666666666668</v>
      </c>
      <c r="K213">
        <f t="shared" si="21"/>
        <v>145083.5847457627</v>
      </c>
      <c r="L213">
        <f t="shared" si="22"/>
        <v>20.885714285714286</v>
      </c>
      <c r="M213">
        <f t="shared" si="23"/>
        <v>136615.41381668946</v>
      </c>
      <c r="O213" s="15"/>
      <c r="P213" s="15"/>
    </row>
    <row r="214" spans="1:16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 cm="1">
        <f t="array" ref="E214">_xlfn.XLOOKUP(1, (Лист1!$A214=Лист2!$A$2:$A$505)*(Лист1!$B214=Лист2!$B$2:$B$505),Лист2!$C$2:$C$505)</f>
        <v>21</v>
      </c>
      <c r="F214" s="7" cm="1">
        <f t="array" ref="F214">_xlfn.XLOOKUP(1, (Лист1!$A214=Лист2!$A$2:$A$505)*(Лист1!$B214=Лист2!$B$2:$B$505),Лист2!$D$2:$D$505)</f>
        <v>2120</v>
      </c>
      <c r="G214" s="7" cm="1">
        <f t="array" ref="G214">_xlfn.XLOOKUP(1, (Лист1!$A214=Лист2!$A$2:$A$505)*(Лист1!$B214=Лист2!$B$2:$B$505),Лист2!$E$2:$E$505)</f>
        <v>1921</v>
      </c>
      <c r="H214">
        <f t="shared" si="18"/>
        <v>169004.64285714287</v>
      </c>
      <c r="I214">
        <f t="shared" si="19"/>
        <v>19</v>
      </c>
      <c r="J214">
        <f t="shared" si="20"/>
        <v>20.571428571428573</v>
      </c>
      <c r="K214">
        <f t="shared" si="21"/>
        <v>172525.57291666666</v>
      </c>
      <c r="L214">
        <f t="shared" si="22"/>
        <v>20.885714285714286</v>
      </c>
      <c r="M214">
        <f t="shared" si="23"/>
        <v>169929.42886456908</v>
      </c>
      <c r="O214" s="15"/>
      <c r="P214" s="15"/>
    </row>
    <row r="215" spans="1:16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 cm="1">
        <f t="array" ref="E215">_xlfn.XLOOKUP(1, (Лист1!$A215=Лист2!$A$2:$A$505)*(Лист1!$B215=Лист2!$B$2:$B$505),Лист2!$C$2:$C$505)</f>
        <v>21</v>
      </c>
      <c r="F215" s="7" cm="1">
        <f t="array" ref="F215">_xlfn.XLOOKUP(1, (Лист1!$A215=Лист2!$A$2:$A$505)*(Лист1!$B215=Лист2!$B$2:$B$505),Лист2!$D$2:$D$505)</f>
        <v>1957</v>
      </c>
      <c r="G215" s="7" cm="1">
        <f t="array" ref="G215">_xlfn.XLOOKUP(1, (Лист1!$A215=Лист2!$A$2:$A$505)*(Лист1!$B215=Лист2!$B$2:$B$505),Лист2!$E$2:$E$505)</f>
        <v>1755</v>
      </c>
      <c r="H215">
        <f t="shared" si="18"/>
        <v>152445.64285714287</v>
      </c>
      <c r="I215">
        <f t="shared" si="19"/>
        <v>19</v>
      </c>
      <c r="J215">
        <f t="shared" si="20"/>
        <v>20.571428571428573</v>
      </c>
      <c r="K215">
        <f t="shared" si="21"/>
        <v>155621.59375</v>
      </c>
      <c r="L215">
        <f t="shared" si="22"/>
        <v>20.885714285714286</v>
      </c>
      <c r="M215">
        <f t="shared" si="23"/>
        <v>153279.81874145006</v>
      </c>
      <c r="O215" s="15"/>
      <c r="P215" s="15"/>
    </row>
    <row r="216" spans="1:16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 cm="1">
        <f t="array" ref="E216">_xlfn.XLOOKUP(1, (Лист1!$A216=Лист2!$A$2:$A$505)*(Лист1!$B216=Лист2!$B$2:$B$505),Лист2!$C$2:$C$505)</f>
        <v>21</v>
      </c>
      <c r="F216" s="7" cm="1">
        <f t="array" ref="F216">_xlfn.XLOOKUP(1, (Лист1!$A216=Лист2!$A$2:$A$505)*(Лист1!$B216=Лист2!$B$2:$B$505),Лист2!$D$2:$D$505)</f>
        <v>1879</v>
      </c>
      <c r="G216" s="7" cm="1">
        <f t="array" ref="G216">_xlfn.XLOOKUP(1, (Лист1!$A216=Лист2!$A$2:$A$505)*(Лист1!$B216=Лист2!$B$2:$B$505),Лист2!$E$2:$E$505)</f>
        <v>1695</v>
      </c>
      <c r="H216">
        <f t="shared" si="18"/>
        <v>139738.28571428571</v>
      </c>
      <c r="I216">
        <f t="shared" si="19"/>
        <v>19</v>
      </c>
      <c r="J216">
        <f t="shared" si="20"/>
        <v>20.571428571428573</v>
      </c>
      <c r="K216">
        <f t="shared" si="21"/>
        <v>142649.5</v>
      </c>
      <c r="L216">
        <f t="shared" si="22"/>
        <v>20.885714285714286</v>
      </c>
      <c r="M216">
        <f t="shared" si="23"/>
        <v>140502.92749658003</v>
      </c>
      <c r="O216" s="15"/>
      <c r="P216" s="15"/>
    </row>
    <row r="217" spans="1:16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 cm="1">
        <f t="array" ref="E217">_xlfn.XLOOKUP(1, (Лист1!$A217=Лист2!$A$2:$A$505)*(Лист1!$B217=Лист2!$B$2:$B$505),Лист2!$C$2:$C$505)</f>
        <v>21</v>
      </c>
      <c r="F217" s="7" cm="1">
        <f t="array" ref="F217">_xlfn.XLOOKUP(1, (Лист1!$A217=Лист2!$A$2:$A$505)*(Лист1!$B217=Лист2!$B$2:$B$505),Лист2!$D$2:$D$505)</f>
        <v>2254</v>
      </c>
      <c r="G217" s="7" cm="1">
        <f t="array" ref="G217">_xlfn.XLOOKUP(1, (Лист1!$A217=Лист2!$A$2:$A$505)*(Лист1!$B217=Лист2!$B$2:$B$505),Лист2!$E$2:$E$505)</f>
        <v>2061</v>
      </c>
      <c r="H217">
        <f t="shared" si="18"/>
        <v>164252.5</v>
      </c>
      <c r="I217">
        <f t="shared" si="19"/>
        <v>21</v>
      </c>
      <c r="J217">
        <f t="shared" si="20"/>
        <v>21</v>
      </c>
      <c r="K217">
        <f t="shared" si="21"/>
        <v>164252.5</v>
      </c>
      <c r="L217">
        <f t="shared" si="22"/>
        <v>20.885714285714286</v>
      </c>
      <c r="M217">
        <f t="shared" si="23"/>
        <v>165151.28248974009</v>
      </c>
      <c r="O217" s="15"/>
      <c r="P217" s="15"/>
    </row>
    <row r="218" spans="1:16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 cm="1">
        <f t="array" ref="E218">_xlfn.XLOOKUP(1, (Лист1!$A218=Лист2!$A$2:$A$505)*(Лист1!$B218=Лист2!$B$2:$B$505),Лист2!$C$2:$C$505)</f>
        <v>23</v>
      </c>
      <c r="F218" s="7" cm="1">
        <f t="array" ref="F218">_xlfn.XLOOKUP(1, (Лист1!$A218=Лист2!$A$2:$A$505)*(Лист1!$B218=Лист2!$B$2:$B$505),Лист2!$D$2:$D$505)</f>
        <v>2522</v>
      </c>
      <c r="G218" s="7" cm="1">
        <f t="array" ref="G218">_xlfn.XLOOKUP(1, (Лист1!$A218=Лист2!$A$2:$A$505)*(Лист1!$B218=Лист2!$B$2:$B$505),Лист2!$E$2:$E$505)</f>
        <v>2295</v>
      </c>
      <c r="H218">
        <f t="shared" si="18"/>
        <v>173658.84782608695</v>
      </c>
      <c r="I218">
        <f t="shared" si="19"/>
        <v>22</v>
      </c>
      <c r="J218">
        <f t="shared" si="20"/>
        <v>21.714285714285715</v>
      </c>
      <c r="K218">
        <f t="shared" si="21"/>
        <v>183941.27960526315</v>
      </c>
      <c r="L218">
        <f t="shared" si="22"/>
        <v>20.885714285714286</v>
      </c>
      <c r="M218">
        <f t="shared" si="23"/>
        <v>191238.53967168264</v>
      </c>
      <c r="O218" s="15"/>
      <c r="P218" s="15"/>
    </row>
    <row r="219" spans="1:16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 cm="1">
        <f t="array" ref="E219">_xlfn.XLOOKUP(1, (Лист1!$A219=Лист2!$A$2:$A$505)*(Лист1!$B219=Лист2!$B$2:$B$505),Лист2!$C$2:$C$505)</f>
        <v>22</v>
      </c>
      <c r="F219" s="7" cm="1">
        <f t="array" ref="F219">_xlfn.XLOOKUP(1, (Лист1!$A219=Лист2!$A$2:$A$505)*(Лист1!$B219=Лист2!$B$2:$B$505),Лист2!$D$2:$D$505)</f>
        <v>2793</v>
      </c>
      <c r="G219" s="7" cm="1">
        <f t="array" ref="G219">_xlfn.XLOOKUP(1, (Лист1!$A219=Лист2!$A$2:$A$505)*(Лист1!$B219=Лист2!$B$2:$B$505),Лист2!$E$2:$E$505)</f>
        <v>2539</v>
      </c>
      <c r="H219">
        <f t="shared" si="18"/>
        <v>202565.52272727274</v>
      </c>
      <c r="I219">
        <f t="shared" si="19"/>
        <v>22</v>
      </c>
      <c r="J219">
        <f t="shared" si="20"/>
        <v>21.714285714285715</v>
      </c>
      <c r="K219">
        <f t="shared" si="21"/>
        <v>205230.85855263157</v>
      </c>
      <c r="L219">
        <f t="shared" si="22"/>
        <v>20.885714285714286</v>
      </c>
      <c r="M219">
        <f t="shared" si="23"/>
        <v>213372.7120383037</v>
      </c>
      <c r="O219" s="15"/>
      <c r="P219" s="15"/>
    </row>
    <row r="220" spans="1:16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 cm="1">
        <f t="array" ref="E220">_xlfn.XLOOKUP(1, (Лист1!$A220=Лист2!$A$2:$A$505)*(Лист1!$B220=Лист2!$B$2:$B$505),Лист2!$C$2:$C$505)</f>
        <v>22</v>
      </c>
      <c r="F220" s="7" cm="1">
        <f t="array" ref="F220">_xlfn.XLOOKUP(1, (Лист1!$A220=Лист2!$A$2:$A$505)*(Лист1!$B220=Лист2!$B$2:$B$505),Лист2!$D$2:$D$505)</f>
        <v>2454</v>
      </c>
      <c r="G220" s="7" cm="1">
        <f t="array" ref="G220">_xlfn.XLOOKUP(1, (Лист1!$A220=Лист2!$A$2:$A$505)*(Лист1!$B220=Лист2!$B$2:$B$505),Лист2!$E$2:$E$505)</f>
        <v>2239</v>
      </c>
      <c r="H220">
        <f t="shared" si="18"/>
        <v>176985.47727272726</v>
      </c>
      <c r="I220">
        <f t="shared" si="19"/>
        <v>22</v>
      </c>
      <c r="J220">
        <f t="shared" si="20"/>
        <v>21.714285714285715</v>
      </c>
      <c r="K220">
        <f t="shared" si="21"/>
        <v>179314.23355263157</v>
      </c>
      <c r="L220">
        <f t="shared" si="22"/>
        <v>20.885714285714286</v>
      </c>
      <c r="M220">
        <f t="shared" si="23"/>
        <v>186427.93091655266</v>
      </c>
      <c r="O220" s="15"/>
      <c r="P220" s="15"/>
    </row>
    <row r="221" spans="1:16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 cm="1">
        <f t="array" ref="E221">_xlfn.XLOOKUP(1, (Лист1!$A221=Лист2!$A$2:$A$505)*(Лист1!$B221=Лист2!$B$2:$B$505),Лист2!$C$2:$C$505)</f>
        <v>15</v>
      </c>
      <c r="F221" s="7" cm="1">
        <f t="array" ref="F221">_xlfn.XLOOKUP(1, (Лист1!$A221=Лист2!$A$2:$A$505)*(Лист1!$B221=Лист2!$B$2:$B$505),Лист2!$D$2:$D$505)</f>
        <v>1111</v>
      </c>
      <c r="G221" s="7" cm="1">
        <f t="array" ref="G221">_xlfn.XLOOKUP(1, (Лист1!$A221=Лист2!$A$2:$A$505)*(Лист1!$B221=Лист2!$B$2:$B$505),Лист2!$E$2:$E$505)</f>
        <v>992</v>
      </c>
      <c r="H221">
        <f t="shared" si="18"/>
        <v>106761.7</v>
      </c>
      <c r="I221">
        <f t="shared" si="19"/>
        <v>20</v>
      </c>
      <c r="J221">
        <f t="shared" si="20"/>
        <v>15</v>
      </c>
      <c r="K221">
        <f t="shared" si="21"/>
        <v>106761.7</v>
      </c>
      <c r="L221">
        <f t="shared" si="22"/>
        <v>15.771428571428572</v>
      </c>
      <c r="M221">
        <f t="shared" si="23"/>
        <v>101539.66032608695</v>
      </c>
      <c r="O221" s="15"/>
      <c r="P221" s="15"/>
    </row>
    <row r="222" spans="1:16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 cm="1">
        <f t="array" ref="E222">_xlfn.XLOOKUP(1, (Лист1!$A222=Лист2!$A$2:$A$505)*(Лист1!$B222=Лист2!$B$2:$B$505),Лист2!$C$2:$C$505)</f>
        <v>16</v>
      </c>
      <c r="F222" s="7" cm="1">
        <f t="array" ref="F222">_xlfn.XLOOKUP(1, (Лист1!$A222=Лист2!$A$2:$A$505)*(Лист1!$B222=Лист2!$B$2:$B$505),Лист2!$D$2:$D$505)</f>
        <v>1012</v>
      </c>
      <c r="G222" s="7" cm="1">
        <f t="array" ref="G222">_xlfn.XLOOKUP(1, (Лист1!$A222=Лист2!$A$2:$A$505)*(Лист1!$B222=Лист2!$B$2:$B$505),Лист2!$E$2:$E$505)</f>
        <v>900</v>
      </c>
      <c r="H222">
        <f t="shared" si="18"/>
        <v>85302.9375</v>
      </c>
      <c r="I222">
        <f t="shared" si="19"/>
        <v>21</v>
      </c>
      <c r="J222">
        <f t="shared" si="20"/>
        <v>16.571428571428573</v>
      </c>
      <c r="K222">
        <f t="shared" si="21"/>
        <v>82361.45689655171</v>
      </c>
      <c r="L222">
        <f t="shared" si="22"/>
        <v>15.771428571428572</v>
      </c>
      <c r="M222">
        <f t="shared" si="23"/>
        <v>86539.211956521729</v>
      </c>
      <c r="O222" s="15"/>
      <c r="P222" s="15"/>
    </row>
    <row r="223" spans="1:16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 cm="1">
        <f t="array" ref="E223">_xlfn.XLOOKUP(1, (Лист1!$A223=Лист2!$A$2:$A$505)*(Лист1!$B223=Лист2!$B$2:$B$505),Лист2!$C$2:$C$505)</f>
        <v>15</v>
      </c>
      <c r="F223" s="7" cm="1">
        <f t="array" ref="F223">_xlfn.XLOOKUP(1, (Лист1!$A223=Лист2!$A$2:$A$505)*(Лист1!$B223=Лист2!$B$2:$B$505),Лист2!$D$2:$D$505)</f>
        <v>971</v>
      </c>
      <c r="G223" s="7" cm="1">
        <f t="array" ref="G223">_xlfn.XLOOKUP(1, (Лист1!$A223=Лист2!$A$2:$A$505)*(Лист1!$B223=Лист2!$B$2:$B$505),Лист2!$E$2:$E$505)</f>
        <v>856</v>
      </c>
      <c r="H223">
        <f t="shared" si="18"/>
        <v>91838.5</v>
      </c>
      <c r="I223">
        <f t="shared" si="19"/>
        <v>20</v>
      </c>
      <c r="J223">
        <f t="shared" si="20"/>
        <v>15</v>
      </c>
      <c r="K223">
        <f t="shared" si="21"/>
        <v>91838.5</v>
      </c>
      <c r="L223">
        <f t="shared" si="22"/>
        <v>15.771428571428572</v>
      </c>
      <c r="M223">
        <f t="shared" si="23"/>
        <v>87346.399456521729</v>
      </c>
      <c r="O223" s="15"/>
      <c r="P223" s="15"/>
    </row>
    <row r="224" spans="1:16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 cm="1">
        <f t="array" ref="E224">_xlfn.XLOOKUP(1, (Лист1!$A224=Лист2!$A$2:$A$505)*(Лист1!$B224=Лист2!$B$2:$B$505),Лист2!$C$2:$C$505)</f>
        <v>15</v>
      </c>
      <c r="F224" s="7" cm="1">
        <f t="array" ref="F224">_xlfn.XLOOKUP(1, (Лист1!$A224=Лист2!$A$2:$A$505)*(Лист1!$B224=Лист2!$B$2:$B$505),Лист2!$D$2:$D$505)</f>
        <v>849</v>
      </c>
      <c r="G224" s="7" cm="1">
        <f t="array" ref="G224">_xlfn.XLOOKUP(1, (Лист1!$A224=Лист2!$A$2:$A$505)*(Лист1!$B224=Лист2!$B$2:$B$505),Лист2!$E$2:$E$505)</f>
        <v>740</v>
      </c>
      <c r="H224">
        <f t="shared" si="18"/>
        <v>81528.800000000003</v>
      </c>
      <c r="I224">
        <f t="shared" si="19"/>
        <v>19</v>
      </c>
      <c r="J224">
        <f t="shared" si="20"/>
        <v>15</v>
      </c>
      <c r="K224">
        <f t="shared" si="21"/>
        <v>81528.800000000003</v>
      </c>
      <c r="L224">
        <f t="shared" si="22"/>
        <v>15.771428571428572</v>
      </c>
      <c r="M224">
        <f t="shared" si="23"/>
        <v>77540.978260869568</v>
      </c>
      <c r="O224" s="15"/>
      <c r="P224" s="15"/>
    </row>
    <row r="225" spans="1:16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 cm="1">
        <f t="array" ref="E225">_xlfn.XLOOKUP(1, (Лист1!$A225=Лист2!$A$2:$A$505)*(Лист1!$B225=Лист2!$B$2:$B$505),Лист2!$C$2:$C$505)</f>
        <v>15</v>
      </c>
      <c r="F225" s="7" cm="1">
        <f t="array" ref="F225">_xlfn.XLOOKUP(1, (Лист1!$A225=Лист2!$A$2:$A$505)*(Лист1!$B225=Лист2!$B$2:$B$505),Лист2!$D$2:$D$505)</f>
        <v>750</v>
      </c>
      <c r="G225" s="7" cm="1">
        <f t="array" ref="G225">_xlfn.XLOOKUP(1, (Лист1!$A225=Лист2!$A$2:$A$505)*(Лист1!$B225=Лист2!$B$2:$B$505),Лист2!$E$2:$E$505)</f>
        <v>647</v>
      </c>
      <c r="H225">
        <f t="shared" si="18"/>
        <v>72347.399999999994</v>
      </c>
      <c r="I225">
        <f t="shared" si="19"/>
        <v>19</v>
      </c>
      <c r="J225">
        <f t="shared" si="20"/>
        <v>15</v>
      </c>
      <c r="K225">
        <f t="shared" si="21"/>
        <v>72347.399999999994</v>
      </c>
      <c r="L225">
        <f t="shared" si="22"/>
        <v>15.771428571428572</v>
      </c>
      <c r="M225">
        <f t="shared" si="23"/>
        <v>68808.668478260865</v>
      </c>
      <c r="O225" s="15"/>
      <c r="P225" s="15"/>
    </row>
    <row r="226" spans="1:16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 cm="1">
        <f t="array" ref="E226">_xlfn.XLOOKUP(1, (Лист1!$A226=Лист2!$A$2:$A$505)*(Лист1!$B226=Лист2!$B$2:$B$505),Лист2!$C$2:$C$505)</f>
        <v>15</v>
      </c>
      <c r="F226" s="7" cm="1">
        <f t="array" ref="F226">_xlfn.XLOOKUP(1, (Лист1!$A226=Лист2!$A$2:$A$505)*(Лист1!$B226=Лист2!$B$2:$B$505),Лист2!$D$2:$D$505)</f>
        <v>786</v>
      </c>
      <c r="G226" s="7" cm="1">
        <f t="array" ref="G226">_xlfn.XLOOKUP(1, (Лист1!$A226=Лист2!$A$2:$A$505)*(Лист1!$B226=Лист2!$B$2:$B$505),Лист2!$E$2:$E$505)</f>
        <v>695</v>
      </c>
      <c r="H226">
        <f t="shared" si="18"/>
        <v>74399.5</v>
      </c>
      <c r="I226">
        <f t="shared" si="19"/>
        <v>18</v>
      </c>
      <c r="J226">
        <f t="shared" si="20"/>
        <v>15</v>
      </c>
      <c r="K226">
        <f t="shared" si="21"/>
        <v>74399.5</v>
      </c>
      <c r="L226">
        <f t="shared" si="22"/>
        <v>15.771428571428572</v>
      </c>
      <c r="M226">
        <f t="shared" si="23"/>
        <v>70760.394021739121</v>
      </c>
      <c r="O226" s="15"/>
      <c r="P226" s="15"/>
    </row>
    <row r="227" spans="1:16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 cm="1">
        <f t="array" ref="E227">_xlfn.XLOOKUP(1, (Лист1!$A227=Лист2!$A$2:$A$505)*(Лист1!$B227=Лист2!$B$2:$B$505),Лист2!$C$2:$C$505)</f>
        <v>15</v>
      </c>
      <c r="F227" s="7" cm="1">
        <f t="array" ref="F227">_xlfn.XLOOKUP(1, (Лист1!$A227=Лист2!$A$2:$A$505)*(Лист1!$B227=Лист2!$B$2:$B$505),Лист2!$D$2:$D$505)</f>
        <v>751</v>
      </c>
      <c r="G227" s="7" cm="1">
        <f t="array" ref="G227">_xlfn.XLOOKUP(1, (Лист1!$A227=Лист2!$A$2:$A$505)*(Лист1!$B227=Лист2!$B$2:$B$505),Лист2!$E$2:$E$505)</f>
        <v>651</v>
      </c>
      <c r="H227">
        <f t="shared" si="18"/>
        <v>70214.7</v>
      </c>
      <c r="I227">
        <f t="shared" si="19"/>
        <v>18</v>
      </c>
      <c r="J227">
        <f t="shared" si="20"/>
        <v>15</v>
      </c>
      <c r="K227">
        <f t="shared" si="21"/>
        <v>70214.7</v>
      </c>
      <c r="L227">
        <f t="shared" si="22"/>
        <v>15.771428571428572</v>
      </c>
      <c r="M227">
        <f t="shared" si="23"/>
        <v>66780.28532608696</v>
      </c>
      <c r="O227" s="15"/>
      <c r="P227" s="15"/>
    </row>
    <row r="228" spans="1:16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 cm="1">
        <f t="array" ref="E228">_xlfn.XLOOKUP(1, (Лист1!$A228=Лист2!$A$2:$A$505)*(Лист1!$B228=Лист2!$B$2:$B$505),Лист2!$C$2:$C$505)</f>
        <v>17</v>
      </c>
      <c r="F228" s="7" cm="1">
        <f t="array" ref="F228">_xlfn.XLOOKUP(1, (Лист1!$A228=Лист2!$A$2:$A$505)*(Лист1!$B228=Лист2!$B$2:$B$505),Лист2!$D$2:$D$505)</f>
        <v>1140</v>
      </c>
      <c r="G228" s="7" cm="1">
        <f t="array" ref="G228">_xlfn.XLOOKUP(1, (Лист1!$A228=Лист2!$A$2:$A$505)*(Лист1!$B228=Лист2!$B$2:$B$505),Лист2!$E$2:$E$505)</f>
        <v>1016</v>
      </c>
      <c r="H228">
        <f t="shared" si="18"/>
        <v>87596.029411764699</v>
      </c>
      <c r="I228">
        <f t="shared" si="19"/>
        <v>22</v>
      </c>
      <c r="J228">
        <f t="shared" si="20"/>
        <v>17</v>
      </c>
      <c r="K228">
        <f t="shared" si="21"/>
        <v>87596.029411764699</v>
      </c>
      <c r="L228">
        <f t="shared" si="22"/>
        <v>15.771428571428572</v>
      </c>
      <c r="M228">
        <f t="shared" si="23"/>
        <v>94419.633152173905</v>
      </c>
      <c r="O228" s="15"/>
      <c r="P228" s="15"/>
    </row>
    <row r="229" spans="1:16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 cm="1">
        <f t="array" ref="E229">_xlfn.XLOOKUP(1, (Лист1!$A229=Лист2!$A$2:$A$505)*(Лист1!$B229=Лист2!$B$2:$B$505),Лист2!$C$2:$C$505)</f>
        <v>15</v>
      </c>
      <c r="F229" s="7" cm="1">
        <f t="array" ref="F229">_xlfn.XLOOKUP(1, (Лист1!$A229=Лист2!$A$2:$A$505)*(Лист1!$B229=Лист2!$B$2:$B$505),Лист2!$D$2:$D$505)</f>
        <v>996</v>
      </c>
      <c r="G229" s="7" cm="1">
        <f t="array" ref="G229">_xlfn.XLOOKUP(1, (Лист1!$A229=Лист2!$A$2:$A$505)*(Лист1!$B229=Лист2!$B$2:$B$505),Лист2!$E$2:$E$505)</f>
        <v>888</v>
      </c>
      <c r="H229">
        <f t="shared" si="18"/>
        <v>97722.8</v>
      </c>
      <c r="I229">
        <f t="shared" si="19"/>
        <v>18</v>
      </c>
      <c r="J229">
        <f t="shared" si="20"/>
        <v>15</v>
      </c>
      <c r="K229">
        <f t="shared" si="21"/>
        <v>97722.8</v>
      </c>
      <c r="L229">
        <f t="shared" si="22"/>
        <v>15.771428571428572</v>
      </c>
      <c r="M229">
        <f t="shared" si="23"/>
        <v>92942.880434782608</v>
      </c>
      <c r="O229" s="15"/>
      <c r="P229" s="15"/>
    </row>
    <row r="230" spans="1:16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 cm="1">
        <f t="array" ref="E230">_xlfn.XLOOKUP(1, (Лист1!$A230=Лист2!$A$2:$A$505)*(Лист1!$B230=Лист2!$B$2:$B$505),Лист2!$C$2:$C$505)</f>
        <v>15</v>
      </c>
      <c r="F230" s="7" cm="1">
        <f t="array" ref="F230">_xlfn.XLOOKUP(1, (Лист1!$A230=Лист2!$A$2:$A$505)*(Лист1!$B230=Лист2!$B$2:$B$505),Лист2!$D$2:$D$505)</f>
        <v>845</v>
      </c>
      <c r="G230" s="7" cm="1">
        <f t="array" ref="G230">_xlfn.XLOOKUP(1, (Лист1!$A230=Лист2!$A$2:$A$505)*(Лист1!$B230=Лист2!$B$2:$B$505),Лист2!$E$2:$E$505)</f>
        <v>743</v>
      </c>
      <c r="H230">
        <f t="shared" si="18"/>
        <v>74922</v>
      </c>
      <c r="I230">
        <f t="shared" si="19"/>
        <v>20</v>
      </c>
      <c r="J230">
        <f t="shared" si="20"/>
        <v>15</v>
      </c>
      <c r="K230">
        <f t="shared" si="21"/>
        <v>74922</v>
      </c>
      <c r="L230">
        <f t="shared" si="22"/>
        <v>15.771428571428572</v>
      </c>
      <c r="M230">
        <f t="shared" si="23"/>
        <v>71257.336956521729</v>
      </c>
      <c r="O230" s="15"/>
      <c r="P230" s="15"/>
    </row>
    <row r="231" spans="1:16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 cm="1">
        <f t="array" ref="E231">_xlfn.XLOOKUP(1, (Лист1!$A231=Лист2!$A$2:$A$505)*(Лист1!$B231=Лист2!$B$2:$B$505),Лист2!$C$2:$C$505)</f>
        <v>17</v>
      </c>
      <c r="F231" s="7" cm="1">
        <f t="array" ref="F231">_xlfn.XLOOKUP(1, (Лист1!$A231=Лист2!$A$2:$A$505)*(Лист1!$B231=Лист2!$B$2:$B$505),Лист2!$D$2:$D$505)</f>
        <v>1045</v>
      </c>
      <c r="G231" s="7" cm="1">
        <f t="array" ref="G231">_xlfn.XLOOKUP(1, (Лист1!$A231=Лист2!$A$2:$A$505)*(Лист1!$B231=Лист2!$B$2:$B$505),Лист2!$E$2:$E$505)</f>
        <v>930</v>
      </c>
      <c r="H231">
        <f t="shared" si="18"/>
        <v>81220.676470588238</v>
      </c>
      <c r="I231">
        <f t="shared" si="19"/>
        <v>21</v>
      </c>
      <c r="J231">
        <f t="shared" si="20"/>
        <v>16.571428571428573</v>
      </c>
      <c r="K231">
        <f t="shared" si="21"/>
        <v>83321.211206896551</v>
      </c>
      <c r="L231">
        <f t="shared" si="22"/>
        <v>15.771428571428572</v>
      </c>
      <c r="M231">
        <f t="shared" si="23"/>
        <v>87547.649456521729</v>
      </c>
      <c r="O231" s="15"/>
      <c r="P231" s="15"/>
    </row>
    <row r="232" spans="1:16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 cm="1">
        <f t="array" ref="E232">_xlfn.XLOOKUP(1, (Лист1!$A232=Лист2!$A$2:$A$505)*(Лист1!$B232=Лист2!$B$2:$B$505),Лист2!$C$2:$C$505)</f>
        <v>16</v>
      </c>
      <c r="F232" s="7" cm="1">
        <f t="array" ref="F232">_xlfn.XLOOKUP(1, (Лист1!$A232=Лист2!$A$2:$A$505)*(Лист1!$B232=Лист2!$B$2:$B$505),Лист2!$D$2:$D$505)</f>
        <v>1050</v>
      </c>
      <c r="G232" s="7" cm="1">
        <f t="array" ref="G232">_xlfn.XLOOKUP(1, (Лист1!$A232=Лист2!$A$2:$A$505)*(Лист1!$B232=Лист2!$B$2:$B$505),Лист2!$E$2:$E$505)</f>
        <v>938</v>
      </c>
      <c r="H232">
        <f t="shared" si="18"/>
        <v>89390.90625</v>
      </c>
      <c r="I232">
        <f t="shared" si="19"/>
        <v>21</v>
      </c>
      <c r="J232">
        <f t="shared" si="20"/>
        <v>16.571428571428573</v>
      </c>
      <c r="K232">
        <f t="shared" si="21"/>
        <v>86308.461206896551</v>
      </c>
      <c r="L232">
        <f t="shared" si="22"/>
        <v>15.771428571428572</v>
      </c>
      <c r="M232">
        <f t="shared" si="23"/>
        <v>90686.426630434784</v>
      </c>
      <c r="O232" s="15"/>
      <c r="P232" s="15"/>
    </row>
    <row r="233" spans="1:16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 cm="1">
        <f t="array" ref="E233">_xlfn.XLOOKUP(1, (Лист1!$A233=Лист2!$A$2:$A$505)*(Лист1!$B233=Лист2!$B$2:$B$505),Лист2!$C$2:$C$505)</f>
        <v>15</v>
      </c>
      <c r="F233" s="7" cm="1">
        <f t="array" ref="F233">_xlfn.XLOOKUP(1, (Лист1!$A233=Лист2!$A$2:$A$505)*(Лист1!$B233=Лист2!$B$2:$B$505),Лист2!$D$2:$D$505)</f>
        <v>922</v>
      </c>
      <c r="G233" s="7" cm="1">
        <f t="array" ref="G233">_xlfn.XLOOKUP(1, (Лист1!$A233=Лист2!$A$2:$A$505)*(Лист1!$B233=Лист2!$B$2:$B$505),Лист2!$E$2:$E$505)</f>
        <v>823</v>
      </c>
      <c r="H233">
        <f t="shared" si="18"/>
        <v>92278.6</v>
      </c>
      <c r="I233">
        <f t="shared" si="19"/>
        <v>19</v>
      </c>
      <c r="J233">
        <f t="shared" si="20"/>
        <v>15</v>
      </c>
      <c r="K233">
        <f t="shared" si="21"/>
        <v>92278.6</v>
      </c>
      <c r="L233">
        <f t="shared" si="22"/>
        <v>15.771428571428572</v>
      </c>
      <c r="M233">
        <f t="shared" si="23"/>
        <v>87764.972826086945</v>
      </c>
      <c r="O233" s="15"/>
      <c r="P233" s="15"/>
    </row>
    <row r="234" spans="1:16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 cm="1">
        <f t="array" ref="E234">_xlfn.XLOOKUP(1, (Лист1!$A234=Лист2!$A$2:$A$505)*(Лист1!$B234=Лист2!$B$2:$B$505),Лист2!$C$2:$C$505)</f>
        <v>15</v>
      </c>
      <c r="F234" s="7" cm="1">
        <f t="array" ref="F234">_xlfn.XLOOKUP(1, (Лист1!$A234=Лист2!$A$2:$A$505)*(Лист1!$B234=Лист2!$B$2:$B$505),Лист2!$D$2:$D$505)</f>
        <v>780</v>
      </c>
      <c r="G234" s="7" cm="1">
        <f t="array" ref="G234">_xlfn.XLOOKUP(1, (Лист1!$A234=Лист2!$A$2:$A$505)*(Лист1!$B234=Лист2!$B$2:$B$505),Лист2!$E$2:$E$505)</f>
        <v>690</v>
      </c>
      <c r="H234">
        <f t="shared" si="18"/>
        <v>73525.8</v>
      </c>
      <c r="I234">
        <f t="shared" si="19"/>
        <v>18</v>
      </c>
      <c r="J234">
        <f t="shared" si="20"/>
        <v>15</v>
      </c>
      <c r="K234">
        <f t="shared" si="21"/>
        <v>73525.8</v>
      </c>
      <c r="L234">
        <f t="shared" si="22"/>
        <v>15.771428571428572</v>
      </c>
      <c r="M234">
        <f t="shared" si="23"/>
        <v>69929.429347826081</v>
      </c>
      <c r="O234" s="15"/>
      <c r="P234" s="15"/>
    </row>
    <row r="235" spans="1:16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 cm="1">
        <f t="array" ref="E235">_xlfn.XLOOKUP(1, (Лист1!$A235=Лист2!$A$2:$A$505)*(Лист1!$B235=Лист2!$B$2:$B$505),Лист2!$C$2:$C$505)</f>
        <v>15</v>
      </c>
      <c r="F235" s="7" cm="1">
        <f t="array" ref="F235">_xlfn.XLOOKUP(1, (Лист1!$A235=Лист2!$A$2:$A$505)*(Лист1!$B235=Лист2!$B$2:$B$505),Лист2!$D$2:$D$505)</f>
        <v>898</v>
      </c>
      <c r="G235" s="7" cm="1">
        <f t="array" ref="G235">_xlfn.XLOOKUP(1, (Лист1!$A235=Лист2!$A$2:$A$505)*(Лист1!$B235=Лист2!$B$2:$B$505),Лист2!$E$2:$E$505)</f>
        <v>795</v>
      </c>
      <c r="H235">
        <f t="shared" si="18"/>
        <v>82900.5</v>
      </c>
      <c r="I235">
        <f t="shared" si="19"/>
        <v>20</v>
      </c>
      <c r="J235">
        <f t="shared" si="20"/>
        <v>15</v>
      </c>
      <c r="K235">
        <f t="shared" si="21"/>
        <v>82900.5</v>
      </c>
      <c r="L235">
        <f t="shared" si="22"/>
        <v>15.771428571428572</v>
      </c>
      <c r="M235">
        <f t="shared" si="23"/>
        <v>78845.584239130432</v>
      </c>
      <c r="O235" s="15"/>
      <c r="P235" s="15"/>
    </row>
    <row r="236" spans="1:16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 cm="1">
        <f t="array" ref="E236">_xlfn.XLOOKUP(1, (Лист1!$A236=Лист2!$A$2:$A$505)*(Лист1!$B236=Лист2!$B$2:$B$505),Лист2!$C$2:$C$505)</f>
        <v>15</v>
      </c>
      <c r="F236" s="7" cm="1">
        <f t="array" ref="F236">_xlfn.XLOOKUP(1, (Лист1!$A236=Лист2!$A$2:$A$505)*(Лист1!$B236=Лист2!$B$2:$B$505),Лист2!$D$2:$D$505)</f>
        <v>784</v>
      </c>
      <c r="G236" s="7" cm="1">
        <f t="array" ref="G236">_xlfn.XLOOKUP(1, (Лист1!$A236=Лист2!$A$2:$A$505)*(Лист1!$B236=Лист2!$B$2:$B$505),Лист2!$E$2:$E$505)</f>
        <v>696</v>
      </c>
      <c r="H236">
        <f t="shared" si="18"/>
        <v>74667.3</v>
      </c>
      <c r="I236">
        <f t="shared" si="19"/>
        <v>18</v>
      </c>
      <c r="J236">
        <f t="shared" si="20"/>
        <v>15</v>
      </c>
      <c r="K236">
        <f t="shared" si="21"/>
        <v>74667.3</v>
      </c>
      <c r="L236">
        <f t="shared" si="22"/>
        <v>15.771428571428572</v>
      </c>
      <c r="M236">
        <f t="shared" si="23"/>
        <v>71015.095108695648</v>
      </c>
      <c r="O236" s="15"/>
      <c r="P236" s="15"/>
    </row>
    <row r="237" spans="1:16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 cm="1">
        <f t="array" ref="E237">_xlfn.XLOOKUP(1, (Лист1!$A237=Лист2!$A$2:$A$505)*(Лист1!$B237=Лист2!$B$2:$B$505),Лист2!$C$2:$C$505)</f>
        <v>15</v>
      </c>
      <c r="F237" s="7" cm="1">
        <f t="array" ref="F237">_xlfn.XLOOKUP(1, (Лист1!$A237=Лист2!$A$2:$A$505)*(Лист1!$B237=Лист2!$B$2:$B$505),Лист2!$D$2:$D$505)</f>
        <v>839</v>
      </c>
      <c r="G237" s="7" cm="1">
        <f t="array" ref="G237">_xlfn.XLOOKUP(1, (Лист1!$A237=Лист2!$A$2:$A$505)*(Лист1!$B237=Лист2!$B$2:$B$505),Лист2!$E$2:$E$505)</f>
        <v>733</v>
      </c>
      <c r="H237">
        <f t="shared" si="18"/>
        <v>81403.8</v>
      </c>
      <c r="I237">
        <f t="shared" si="19"/>
        <v>19</v>
      </c>
      <c r="J237">
        <f t="shared" si="20"/>
        <v>15</v>
      </c>
      <c r="K237">
        <f t="shared" si="21"/>
        <v>81403.8</v>
      </c>
      <c r="L237">
        <f t="shared" si="22"/>
        <v>15.771428571428572</v>
      </c>
      <c r="M237">
        <f t="shared" si="23"/>
        <v>77422.092391304337</v>
      </c>
      <c r="O237" s="15"/>
      <c r="P237" s="15"/>
    </row>
    <row r="238" spans="1:16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 cm="1">
        <f t="array" ref="E238">_xlfn.XLOOKUP(1, (Лист1!$A238=Лист2!$A$2:$A$505)*(Лист1!$B238=Лист2!$B$2:$B$505),Лист2!$C$2:$C$505)</f>
        <v>17</v>
      </c>
      <c r="F238" s="7" cm="1">
        <f t="array" ref="F238">_xlfn.XLOOKUP(1, (Лист1!$A238=Лист2!$A$2:$A$505)*(Лист1!$B238=Лист2!$B$2:$B$505),Лист2!$D$2:$D$505)</f>
        <v>1294</v>
      </c>
      <c r="G238" s="7" cm="1">
        <f t="array" ref="G238">_xlfn.XLOOKUP(1, (Лист1!$A238=Лист2!$A$2:$A$505)*(Лист1!$B238=Лист2!$B$2:$B$505),Лист2!$E$2:$E$505)</f>
        <v>1155</v>
      </c>
      <c r="H238">
        <f t="shared" si="18"/>
        <v>109058.91176470589</v>
      </c>
      <c r="I238">
        <f t="shared" si="19"/>
        <v>21</v>
      </c>
      <c r="J238">
        <f t="shared" si="20"/>
        <v>16.571428571428573</v>
      </c>
      <c r="K238">
        <f t="shared" si="21"/>
        <v>111879.40086206896</v>
      </c>
      <c r="L238">
        <f t="shared" si="22"/>
        <v>15.771428571428572</v>
      </c>
      <c r="M238">
        <f t="shared" si="23"/>
        <v>117554.44293478261</v>
      </c>
      <c r="O238" s="15"/>
      <c r="P238" s="15"/>
    </row>
    <row r="239" spans="1:16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 cm="1">
        <f t="array" ref="E239">_xlfn.XLOOKUP(1, (Лист1!$A239=Лист2!$A$2:$A$505)*(Лист1!$B239=Лист2!$B$2:$B$505),Лист2!$C$2:$C$505)</f>
        <v>17</v>
      </c>
      <c r="F239" s="7" cm="1">
        <f t="array" ref="F239">_xlfn.XLOOKUP(1, (Лист1!$A239=Лист2!$A$2:$A$505)*(Лист1!$B239=Лист2!$B$2:$B$505),Лист2!$D$2:$D$505)</f>
        <v>1142</v>
      </c>
      <c r="G239" s="7" cm="1">
        <f t="array" ref="G239">_xlfn.XLOOKUP(1, (Лист1!$A239=Лист2!$A$2:$A$505)*(Лист1!$B239=Лист2!$B$2:$B$505),Лист2!$E$2:$E$505)</f>
        <v>1020</v>
      </c>
      <c r="H239">
        <f t="shared" si="18"/>
        <v>88698.088235294112</v>
      </c>
      <c r="I239">
        <f t="shared" si="19"/>
        <v>22</v>
      </c>
      <c r="J239">
        <f t="shared" si="20"/>
        <v>17</v>
      </c>
      <c r="K239">
        <f t="shared" si="21"/>
        <v>88698.088235294112</v>
      </c>
      <c r="L239">
        <f t="shared" si="22"/>
        <v>15.771428571428572</v>
      </c>
      <c r="M239">
        <f t="shared" si="23"/>
        <v>95607.540760869553</v>
      </c>
      <c r="O239" s="15"/>
      <c r="P239" s="15"/>
    </row>
    <row r="240" spans="1:16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 cm="1">
        <f t="array" ref="E240">_xlfn.XLOOKUP(1, (Лист1!$A240=Лист2!$A$2:$A$505)*(Лист1!$B240=Лист2!$B$2:$B$505),Лист2!$C$2:$C$505)</f>
        <v>15</v>
      </c>
      <c r="F240" s="7" cm="1">
        <f t="array" ref="F240">_xlfn.XLOOKUP(1, (Лист1!$A240=Лист2!$A$2:$A$505)*(Лист1!$B240=Лист2!$B$2:$B$505),Лист2!$D$2:$D$505)</f>
        <v>791</v>
      </c>
      <c r="G240" s="7" cm="1">
        <f t="array" ref="G240">_xlfn.XLOOKUP(1, (Лист1!$A240=Лист2!$A$2:$A$505)*(Лист1!$B240=Лист2!$B$2:$B$505),Лист2!$E$2:$E$505)</f>
        <v>691</v>
      </c>
      <c r="H240">
        <f t="shared" si="18"/>
        <v>73537.899999999994</v>
      </c>
      <c r="I240">
        <f t="shared" si="19"/>
        <v>18</v>
      </c>
      <c r="J240">
        <f t="shared" si="20"/>
        <v>15</v>
      </c>
      <c r="K240">
        <f t="shared" si="21"/>
        <v>73537.899999999994</v>
      </c>
      <c r="L240">
        <f t="shared" si="22"/>
        <v>15.771428571428572</v>
      </c>
      <c r="M240">
        <f t="shared" si="23"/>
        <v>69940.9375</v>
      </c>
      <c r="O240" s="15"/>
      <c r="P240" s="15"/>
    </row>
    <row r="241" spans="1:16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 cm="1">
        <f t="array" ref="E241">_xlfn.XLOOKUP(1, (Лист1!$A241=Лист2!$A$2:$A$505)*(Лист1!$B241=Лист2!$B$2:$B$505),Лист2!$C$2:$C$505)</f>
        <v>15</v>
      </c>
      <c r="F241" s="7" cm="1">
        <f t="array" ref="F241">_xlfn.XLOOKUP(1, (Лист1!$A241=Лист2!$A$2:$A$505)*(Лист1!$B241=Лист2!$B$2:$B$505),Лист2!$D$2:$D$505)</f>
        <v>950</v>
      </c>
      <c r="G241" s="7" cm="1">
        <f t="array" ref="G241">_xlfn.XLOOKUP(1, (Лист1!$A241=Лист2!$A$2:$A$505)*(Лист1!$B241=Лист2!$B$2:$B$505),Лист2!$E$2:$E$505)</f>
        <v>848</v>
      </c>
      <c r="H241">
        <f t="shared" si="18"/>
        <v>98102.5</v>
      </c>
      <c r="I241">
        <f t="shared" si="19"/>
        <v>19</v>
      </c>
      <c r="J241">
        <f t="shared" si="20"/>
        <v>15</v>
      </c>
      <c r="K241">
        <f t="shared" si="21"/>
        <v>98102.5</v>
      </c>
      <c r="L241">
        <f t="shared" si="22"/>
        <v>15.771428571428572</v>
      </c>
      <c r="M241">
        <f t="shared" si="23"/>
        <v>93304.008152173905</v>
      </c>
      <c r="O241" s="15"/>
      <c r="P241" s="15"/>
    </row>
    <row r="242" spans="1:16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 cm="1">
        <f t="array" ref="E242">_xlfn.XLOOKUP(1, (Лист1!$A242=Лист2!$A$2:$A$505)*(Лист1!$B242=Лист2!$B$2:$B$505),Лист2!$C$2:$C$505)</f>
        <v>15</v>
      </c>
      <c r="F242" s="7" cm="1">
        <f t="array" ref="F242">_xlfn.XLOOKUP(1, (Лист1!$A242=Лист2!$A$2:$A$505)*(Лист1!$B242=Лист2!$B$2:$B$505),Лист2!$D$2:$D$505)</f>
        <v>879</v>
      </c>
      <c r="G242" s="7" cm="1">
        <f t="array" ref="G242">_xlfn.XLOOKUP(1, (Лист1!$A242=Лист2!$A$2:$A$505)*(Лист1!$B242=Лист2!$B$2:$B$505),Лист2!$E$2:$E$505)</f>
        <v>768</v>
      </c>
      <c r="H242">
        <f t="shared" si="18"/>
        <v>84652.4</v>
      </c>
      <c r="I242">
        <f t="shared" si="19"/>
        <v>19</v>
      </c>
      <c r="J242">
        <f t="shared" si="20"/>
        <v>15</v>
      </c>
      <c r="K242">
        <f t="shared" si="21"/>
        <v>84652.4</v>
      </c>
      <c r="L242">
        <f t="shared" si="22"/>
        <v>15.771428571428572</v>
      </c>
      <c r="M242">
        <f t="shared" si="23"/>
        <v>80511.793478260865</v>
      </c>
      <c r="O242" s="15"/>
      <c r="P242" s="15"/>
    </row>
    <row r="243" spans="1:16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 cm="1">
        <f t="array" ref="E243">_xlfn.XLOOKUP(1, (Лист1!$A243=Лист2!$A$2:$A$505)*(Лист1!$B243=Лист2!$B$2:$B$505),Лист2!$C$2:$C$505)</f>
        <v>15</v>
      </c>
      <c r="F243" s="7" cm="1">
        <f t="array" ref="F243">_xlfn.XLOOKUP(1, (Лист1!$A243=Лист2!$A$2:$A$505)*(Лист1!$B243=Лист2!$B$2:$B$505),Лист2!$D$2:$D$505)</f>
        <v>805</v>
      </c>
      <c r="G243" s="7" cm="1">
        <f t="array" ref="G243">_xlfn.XLOOKUP(1, (Лист1!$A243=Лист2!$A$2:$A$505)*(Лист1!$B243=Лист2!$B$2:$B$505),Лист2!$E$2:$E$505)</f>
        <v>703</v>
      </c>
      <c r="H243">
        <f t="shared" si="18"/>
        <v>74926.3</v>
      </c>
      <c r="I243">
        <f t="shared" si="19"/>
        <v>19</v>
      </c>
      <c r="J243">
        <f t="shared" si="20"/>
        <v>15</v>
      </c>
      <c r="K243">
        <f t="shared" si="21"/>
        <v>74926.3</v>
      </c>
      <c r="L243">
        <f t="shared" si="22"/>
        <v>15.771428571428572</v>
      </c>
      <c r="M243">
        <f t="shared" si="23"/>
        <v>71261.426630434784</v>
      </c>
      <c r="O243" s="15"/>
      <c r="P243" s="15"/>
    </row>
    <row r="244" spans="1:16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 cm="1">
        <f t="array" ref="E244">_xlfn.XLOOKUP(1, (Лист1!$A244=Лист2!$A$2:$A$505)*(Лист1!$B244=Лист2!$B$2:$B$505),Лист2!$C$2:$C$505)</f>
        <v>17</v>
      </c>
      <c r="F244" s="7" cm="1">
        <f t="array" ref="F244">_xlfn.XLOOKUP(1, (Лист1!$A244=Лист2!$A$2:$A$505)*(Лист1!$B244=Лист2!$B$2:$B$505),Лист2!$D$2:$D$505)</f>
        <v>1128</v>
      </c>
      <c r="G244" s="7" cm="1">
        <f t="array" ref="G244">_xlfn.XLOOKUP(1, (Лист1!$A244=Лист2!$A$2:$A$505)*(Лист1!$B244=Лист2!$B$2:$B$505),Лист2!$E$2:$E$505)</f>
        <v>1001</v>
      </c>
      <c r="H244">
        <f t="shared" si="18"/>
        <v>91064.647058823524</v>
      </c>
      <c r="I244">
        <f t="shared" si="19"/>
        <v>21</v>
      </c>
      <c r="J244">
        <f t="shared" si="20"/>
        <v>16.571428571428573</v>
      </c>
      <c r="K244">
        <f t="shared" si="21"/>
        <v>93419.767241379304</v>
      </c>
      <c r="L244">
        <f t="shared" si="22"/>
        <v>15.771428571428572</v>
      </c>
      <c r="M244">
        <f t="shared" si="23"/>
        <v>98158.451086956513</v>
      </c>
      <c r="O244" s="15"/>
      <c r="P244" s="15"/>
    </row>
    <row r="245" spans="1:16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 cm="1">
        <f t="array" ref="E245">_xlfn.XLOOKUP(1, (Лист1!$A245=Лист2!$A$2:$A$505)*(Лист1!$B245=Лист2!$B$2:$B$505),Лист2!$C$2:$C$505)</f>
        <v>15</v>
      </c>
      <c r="F245" s="7" cm="1">
        <f t="array" ref="F245">_xlfn.XLOOKUP(1, (Лист1!$A245=Лист2!$A$2:$A$505)*(Лист1!$B245=Лист2!$B$2:$B$505),Лист2!$D$2:$D$505)</f>
        <v>747</v>
      </c>
      <c r="G245" s="7" cm="1">
        <f t="array" ref="G245">_xlfn.XLOOKUP(1, (Лист1!$A245=Лист2!$A$2:$A$505)*(Лист1!$B245=Лист2!$B$2:$B$505),Лист2!$E$2:$E$505)</f>
        <v>647</v>
      </c>
      <c r="H245">
        <f t="shared" si="18"/>
        <v>81002.2</v>
      </c>
      <c r="I245">
        <f t="shared" si="19"/>
        <v>20</v>
      </c>
      <c r="J245">
        <f t="shared" si="20"/>
        <v>15</v>
      </c>
      <c r="K245">
        <f t="shared" si="21"/>
        <v>81002.2</v>
      </c>
      <c r="L245">
        <f t="shared" si="22"/>
        <v>15.151515151515152</v>
      </c>
      <c r="M245">
        <f t="shared" si="23"/>
        <v>80192.178</v>
      </c>
      <c r="O245" s="15"/>
      <c r="P245" s="15"/>
    </row>
    <row r="246" spans="1:16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 cm="1">
        <f t="array" ref="E246">_xlfn.XLOOKUP(1, (Лист1!$A246=Лист2!$A$2:$A$505)*(Лист1!$B246=Лист2!$B$2:$B$505),Лист2!$C$2:$C$505)</f>
        <v>15</v>
      </c>
      <c r="F246" s="7" cm="1">
        <f t="array" ref="F246">_xlfn.XLOOKUP(1, (Лист1!$A246=Лист2!$A$2:$A$505)*(Лист1!$B246=Лист2!$B$2:$B$505),Лист2!$D$2:$D$505)</f>
        <v>930</v>
      </c>
      <c r="G246" s="7" cm="1">
        <f t="array" ref="G246">_xlfn.XLOOKUP(1, (Лист1!$A246=Лист2!$A$2:$A$505)*(Лист1!$B246=Лист2!$B$2:$B$505),Лист2!$E$2:$E$505)</f>
        <v>827</v>
      </c>
      <c r="H246">
        <f t="shared" si="18"/>
        <v>93536.5</v>
      </c>
      <c r="I246">
        <f t="shared" si="19"/>
        <v>21</v>
      </c>
      <c r="J246">
        <f t="shared" si="20"/>
        <v>15</v>
      </c>
      <c r="K246">
        <f t="shared" si="21"/>
        <v>93536.5</v>
      </c>
      <c r="L246">
        <f t="shared" si="22"/>
        <v>15.151515151515152</v>
      </c>
      <c r="M246">
        <f t="shared" si="23"/>
        <v>92601.134999999995</v>
      </c>
      <c r="O246" s="15"/>
      <c r="P246" s="15"/>
    </row>
    <row r="247" spans="1:16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 cm="1">
        <f t="array" ref="E247">_xlfn.XLOOKUP(1, (Лист1!$A247=Лист2!$A$2:$A$505)*(Лист1!$B247=Лист2!$B$2:$B$505),Лист2!$C$2:$C$505)</f>
        <v>15</v>
      </c>
      <c r="F247" s="7" cm="1">
        <f t="array" ref="F247">_xlfn.XLOOKUP(1, (Лист1!$A247=Лист2!$A$2:$A$505)*(Лист1!$B247=Лист2!$B$2:$B$505),Лист2!$D$2:$D$505)</f>
        <v>692</v>
      </c>
      <c r="G247" s="7" cm="1">
        <f t="array" ref="G247">_xlfn.XLOOKUP(1, (Лист1!$A247=Лист2!$A$2:$A$505)*(Лист1!$B247=Лист2!$B$2:$B$505),Лист2!$E$2:$E$505)</f>
        <v>591</v>
      </c>
      <c r="H247">
        <f t="shared" si="18"/>
        <v>70699.3</v>
      </c>
      <c r="I247">
        <f t="shared" si="19"/>
        <v>20</v>
      </c>
      <c r="J247">
        <f t="shared" si="20"/>
        <v>15</v>
      </c>
      <c r="K247">
        <f t="shared" si="21"/>
        <v>70699.3</v>
      </c>
      <c r="L247">
        <f t="shared" si="22"/>
        <v>15.151515151515152</v>
      </c>
      <c r="M247">
        <f t="shared" si="23"/>
        <v>69992.307000000001</v>
      </c>
      <c r="O247" s="15"/>
      <c r="P247" s="15"/>
    </row>
    <row r="248" spans="1:16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 cm="1">
        <f t="array" ref="E248">_xlfn.XLOOKUP(1, (Лист1!$A248=Лист2!$A$2:$A$505)*(Лист1!$B248=Лист2!$B$2:$B$505),Лист2!$C$2:$C$505)</f>
        <v>15</v>
      </c>
      <c r="F248" s="7" cm="1">
        <f t="array" ref="F248">_xlfn.XLOOKUP(1, (Лист1!$A248=Лист2!$A$2:$A$505)*(Лист1!$B248=Лист2!$B$2:$B$505),Лист2!$D$2:$D$505)</f>
        <v>623</v>
      </c>
      <c r="G248" s="7" cm="1">
        <f t="array" ref="G248">_xlfn.XLOOKUP(1, (Лист1!$A248=Лист2!$A$2:$A$505)*(Лист1!$B248=Лист2!$B$2:$B$505),Лист2!$E$2:$E$505)</f>
        <v>535</v>
      </c>
      <c r="H248">
        <f t="shared" si="18"/>
        <v>72081.100000000006</v>
      </c>
      <c r="I248">
        <f t="shared" si="19"/>
        <v>19</v>
      </c>
      <c r="J248">
        <f t="shared" si="20"/>
        <v>15</v>
      </c>
      <c r="K248">
        <f t="shared" si="21"/>
        <v>72081.100000000006</v>
      </c>
      <c r="L248">
        <f t="shared" si="22"/>
        <v>15.151515151515152</v>
      </c>
      <c r="M248">
        <f t="shared" si="23"/>
        <v>71360.28899999999</v>
      </c>
      <c r="O248" s="15"/>
      <c r="P248" s="15"/>
    </row>
    <row r="249" spans="1:16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 cm="1">
        <f t="array" ref="E249">_xlfn.XLOOKUP(1, (Лист1!$A249=Лист2!$A$2:$A$505)*(Лист1!$B249=Лист2!$B$2:$B$505),Лист2!$C$2:$C$505)</f>
        <v>15</v>
      </c>
      <c r="F249" s="7" cm="1">
        <f t="array" ref="F249">_xlfn.XLOOKUP(1, (Лист1!$A249=Лист2!$A$2:$A$505)*(Лист1!$B249=Лист2!$B$2:$B$505),Лист2!$D$2:$D$505)</f>
        <v>390</v>
      </c>
      <c r="G249" s="7" cm="1">
        <f t="array" ref="G249">_xlfn.XLOOKUP(1, (Лист1!$A249=Лист2!$A$2:$A$505)*(Лист1!$B249=Лист2!$B$2:$B$505),Лист2!$E$2:$E$505)</f>
        <v>315</v>
      </c>
      <c r="H249">
        <f t="shared" si="18"/>
        <v>40723.699999999997</v>
      </c>
      <c r="I249">
        <f t="shared" si="19"/>
        <v>19</v>
      </c>
      <c r="J249">
        <f t="shared" si="20"/>
        <v>15</v>
      </c>
      <c r="K249">
        <f t="shared" si="21"/>
        <v>40723.699999999997</v>
      </c>
      <c r="L249">
        <f t="shared" si="22"/>
        <v>15.151515151515152</v>
      </c>
      <c r="M249">
        <f t="shared" si="23"/>
        <v>40316.462999999996</v>
      </c>
      <c r="O249" s="15"/>
      <c r="P249" s="15"/>
    </row>
    <row r="250" spans="1:16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 cm="1">
        <f t="array" ref="E250">_xlfn.XLOOKUP(1, (Лист1!$A250=Лист2!$A$2:$A$505)*(Лист1!$B250=Лист2!$B$2:$B$505),Лист2!$C$2:$C$505)</f>
        <v>18</v>
      </c>
      <c r="F250" s="7" cm="1">
        <f t="array" ref="F250">_xlfn.XLOOKUP(1, (Лист1!$A250=Лист2!$A$2:$A$505)*(Лист1!$B250=Лист2!$B$2:$B$505),Лист2!$D$2:$D$505)</f>
        <v>1599</v>
      </c>
      <c r="G250" s="7" cm="1">
        <f t="array" ref="G250">_xlfn.XLOOKUP(1, (Лист1!$A250=Лист2!$A$2:$A$505)*(Лист1!$B250=Лист2!$B$2:$B$505),Лист2!$E$2:$E$505)</f>
        <v>1450</v>
      </c>
      <c r="H250">
        <f t="shared" si="18"/>
        <v>131161.91666666666</v>
      </c>
      <c r="I250">
        <f t="shared" si="19"/>
        <v>18</v>
      </c>
      <c r="J250">
        <f t="shared" si="20"/>
        <v>18.666666666666668</v>
      </c>
      <c r="K250">
        <f t="shared" si="21"/>
        <v>126477.56249999999</v>
      </c>
      <c r="L250">
        <f t="shared" si="22"/>
        <v>19.228571428571428</v>
      </c>
      <c r="M250">
        <f t="shared" si="23"/>
        <v>122781.58618127786</v>
      </c>
      <c r="O250" s="15"/>
      <c r="P250" s="15"/>
    </row>
    <row r="251" spans="1:16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 cm="1">
        <f t="array" ref="E251">_xlfn.XLOOKUP(1, (Лист1!$A251=Лист2!$A$2:$A$505)*(Лист1!$B251=Лист2!$B$2:$B$505),Лист2!$C$2:$C$505)</f>
        <v>15</v>
      </c>
      <c r="F251" s="7" cm="1">
        <f t="array" ref="F251">_xlfn.XLOOKUP(1, (Лист1!$A251=Лист2!$A$2:$A$505)*(Лист1!$B251=Лист2!$B$2:$B$505),Лист2!$D$2:$D$505)</f>
        <v>274</v>
      </c>
      <c r="G251" s="7" cm="1">
        <f t="array" ref="G251">_xlfn.XLOOKUP(1, (Лист1!$A251=Лист2!$A$2:$A$505)*(Лист1!$B251=Лист2!$B$2:$B$505),Лист2!$E$2:$E$505)</f>
        <v>203</v>
      </c>
      <c r="H251">
        <f t="shared" si="18"/>
        <v>28882.9</v>
      </c>
      <c r="I251">
        <f t="shared" si="19"/>
        <v>18</v>
      </c>
      <c r="J251">
        <f t="shared" si="20"/>
        <v>15</v>
      </c>
      <c r="K251">
        <f t="shared" si="21"/>
        <v>28882.9</v>
      </c>
      <c r="L251">
        <f t="shared" si="22"/>
        <v>15.151515151515152</v>
      </c>
      <c r="M251">
        <f t="shared" si="23"/>
        <v>28594.071</v>
      </c>
      <c r="O251" s="15"/>
      <c r="P251" s="15"/>
    </row>
    <row r="252" spans="1:16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 cm="1">
        <f t="array" ref="E252">_xlfn.XLOOKUP(1, (Лист1!$A252=Лист2!$A$2:$A$505)*(Лист1!$B252=Лист2!$B$2:$B$505),Лист2!$C$2:$C$505)</f>
        <v>15</v>
      </c>
      <c r="F252" s="7" cm="1">
        <f t="array" ref="F252">_xlfn.XLOOKUP(1, (Лист1!$A252=Лист2!$A$2:$A$505)*(Лист1!$B252=Лист2!$B$2:$B$505),Лист2!$D$2:$D$505)</f>
        <v>812</v>
      </c>
      <c r="G252" s="7" cm="1">
        <f t="array" ref="G252">_xlfn.XLOOKUP(1, (Лист1!$A252=Лист2!$A$2:$A$505)*(Лист1!$B252=Лист2!$B$2:$B$505),Лист2!$E$2:$E$505)</f>
        <v>711</v>
      </c>
      <c r="H252">
        <f t="shared" si="18"/>
        <v>76803.600000000006</v>
      </c>
      <c r="I252">
        <f t="shared" si="19"/>
        <v>22</v>
      </c>
      <c r="J252">
        <f t="shared" si="20"/>
        <v>15.571428571428571</v>
      </c>
      <c r="K252">
        <f t="shared" si="21"/>
        <v>73985.119266055044</v>
      </c>
      <c r="L252">
        <f t="shared" si="22"/>
        <v>15.151515151515152</v>
      </c>
      <c r="M252">
        <f t="shared" si="23"/>
        <v>76035.563999999998</v>
      </c>
      <c r="O252" s="15"/>
      <c r="P252" s="15"/>
    </row>
    <row r="253" spans="1:16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 cm="1">
        <f t="array" ref="E253">_xlfn.XLOOKUP(1, (Лист1!$A253=Лист2!$A$2:$A$505)*(Лист1!$B253=Лист2!$B$2:$B$505),Лист2!$C$2:$C$505)</f>
        <v>15</v>
      </c>
      <c r="F253" s="7" cm="1">
        <f t="array" ref="F253">_xlfn.XLOOKUP(1, (Лист1!$A253=Лист2!$A$2:$A$505)*(Лист1!$B253=Лист2!$B$2:$B$505),Лист2!$D$2:$D$505)</f>
        <v>294</v>
      </c>
      <c r="G253" s="7" cm="1">
        <f t="array" ref="G253">_xlfn.XLOOKUP(1, (Лист1!$A253=Лист2!$A$2:$A$505)*(Лист1!$B253=Лист2!$B$2:$B$505),Лист2!$E$2:$E$505)</f>
        <v>225</v>
      </c>
      <c r="H253">
        <f t="shared" si="18"/>
        <v>33704.800000000003</v>
      </c>
      <c r="I253">
        <f t="shared" si="19"/>
        <v>18</v>
      </c>
      <c r="J253">
        <f t="shared" si="20"/>
        <v>15</v>
      </c>
      <c r="K253">
        <f t="shared" si="21"/>
        <v>33704.800000000003</v>
      </c>
      <c r="L253">
        <f t="shared" si="22"/>
        <v>15.151515151515152</v>
      </c>
      <c r="M253">
        <f t="shared" si="23"/>
        <v>33367.752</v>
      </c>
      <c r="O253" s="15"/>
      <c r="P253" s="15"/>
    </row>
    <row r="254" spans="1:16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 cm="1">
        <f t="array" ref="E254">_xlfn.XLOOKUP(1, (Лист1!$A254=Лист2!$A$2:$A$505)*(Лист1!$B254=Лист2!$B$2:$B$505),Лист2!$C$2:$C$505)</f>
        <v>15</v>
      </c>
      <c r="F254" s="7" cm="1">
        <f t="array" ref="F254">_xlfn.XLOOKUP(1, (Лист1!$A254=Лист2!$A$2:$A$505)*(Лист1!$B254=Лист2!$B$2:$B$505),Лист2!$D$2:$D$505)</f>
        <v>624</v>
      </c>
      <c r="G254" s="7" cm="1">
        <f t="array" ref="G254">_xlfn.XLOOKUP(1, (Лист1!$A254=Лист2!$A$2:$A$505)*(Лист1!$B254=Лист2!$B$2:$B$505),Лист2!$E$2:$E$505)</f>
        <v>538</v>
      </c>
      <c r="H254">
        <f t="shared" si="18"/>
        <v>65975.5</v>
      </c>
      <c r="I254">
        <f t="shared" si="19"/>
        <v>20</v>
      </c>
      <c r="J254">
        <f t="shared" si="20"/>
        <v>15</v>
      </c>
      <c r="K254">
        <f t="shared" si="21"/>
        <v>65975.5</v>
      </c>
      <c r="L254">
        <f t="shared" si="22"/>
        <v>15.151515151515152</v>
      </c>
      <c r="M254">
        <f t="shared" si="23"/>
        <v>65315.744999999995</v>
      </c>
      <c r="O254" s="15"/>
      <c r="P254" s="15"/>
    </row>
    <row r="255" spans="1:16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 cm="1">
        <f t="array" ref="E255">_xlfn.XLOOKUP(1, (Лист1!$A255=Лист2!$A$2:$A$505)*(Лист1!$B255=Лист2!$B$2:$B$505),Лист2!$C$2:$C$505)</f>
        <v>15</v>
      </c>
      <c r="F255" s="7" cm="1">
        <f t="array" ref="F255">_xlfn.XLOOKUP(1, (Лист1!$A255=Лист2!$A$2:$A$505)*(Лист1!$B255=Лист2!$B$2:$B$505),Лист2!$D$2:$D$505)</f>
        <v>749</v>
      </c>
      <c r="G255" s="7" cm="1">
        <f t="array" ref="G255">_xlfn.XLOOKUP(1, (Лист1!$A255=Лист2!$A$2:$A$505)*(Лист1!$B255=Лист2!$B$2:$B$505),Лист2!$E$2:$E$505)</f>
        <v>652</v>
      </c>
      <c r="H255">
        <f t="shared" si="18"/>
        <v>73574.899999999994</v>
      </c>
      <c r="I255">
        <f t="shared" si="19"/>
        <v>21</v>
      </c>
      <c r="J255">
        <f t="shared" si="20"/>
        <v>15</v>
      </c>
      <c r="K255">
        <f t="shared" si="21"/>
        <v>73574.899999999994</v>
      </c>
      <c r="L255">
        <f t="shared" si="22"/>
        <v>15.151515151515152</v>
      </c>
      <c r="M255">
        <f t="shared" si="23"/>
        <v>72839.150999999998</v>
      </c>
      <c r="O255" s="15"/>
      <c r="P255" s="15"/>
    </row>
    <row r="256" spans="1:16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 cm="1">
        <f t="array" ref="E256">_xlfn.XLOOKUP(1, (Лист1!$A256=Лист2!$A$2:$A$505)*(Лист1!$B256=Лист2!$B$2:$B$505),Лист2!$C$2:$C$505)</f>
        <v>15</v>
      </c>
      <c r="F256" s="7" cm="1">
        <f t="array" ref="F256">_xlfn.XLOOKUP(1, (Лист1!$A256=Лист2!$A$2:$A$505)*(Лист1!$B256=Лист2!$B$2:$B$505),Лист2!$D$2:$D$505)</f>
        <v>760</v>
      </c>
      <c r="G256" s="7" cm="1">
        <f t="array" ref="G256">_xlfn.XLOOKUP(1, (Лист1!$A256=Лист2!$A$2:$A$505)*(Лист1!$B256=Лист2!$B$2:$B$505),Лист2!$E$2:$E$505)</f>
        <v>664</v>
      </c>
      <c r="H256">
        <f t="shared" si="18"/>
        <v>73657.2</v>
      </c>
      <c r="I256">
        <f t="shared" si="19"/>
        <v>21</v>
      </c>
      <c r="J256">
        <f t="shared" si="20"/>
        <v>15</v>
      </c>
      <c r="K256">
        <f t="shared" si="21"/>
        <v>73657.2</v>
      </c>
      <c r="L256">
        <f t="shared" si="22"/>
        <v>15.151515151515152</v>
      </c>
      <c r="M256">
        <f t="shared" si="23"/>
        <v>72920.627999999997</v>
      </c>
      <c r="O256" s="15"/>
      <c r="P256" s="15"/>
    </row>
    <row r="257" spans="1:16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 cm="1">
        <f t="array" ref="E257">_xlfn.XLOOKUP(1, (Лист1!$A257=Лист2!$A$2:$A$505)*(Лист1!$B257=Лист2!$B$2:$B$505),Лист2!$C$2:$C$505)</f>
        <v>15</v>
      </c>
      <c r="F257" s="7" cm="1">
        <f t="array" ref="F257">_xlfn.XLOOKUP(1, (Лист1!$A257=Лист2!$A$2:$A$505)*(Лист1!$B257=Лист2!$B$2:$B$505),Лист2!$D$2:$D$505)</f>
        <v>455</v>
      </c>
      <c r="G257" s="7" cm="1">
        <f t="array" ref="G257">_xlfn.XLOOKUP(1, (Лист1!$A257=Лист2!$A$2:$A$505)*(Лист1!$B257=Лист2!$B$2:$B$505),Лист2!$E$2:$E$505)</f>
        <v>381</v>
      </c>
      <c r="H257">
        <f t="shared" si="18"/>
        <v>46306.2</v>
      </c>
      <c r="I257">
        <f t="shared" si="19"/>
        <v>19</v>
      </c>
      <c r="J257">
        <f t="shared" si="20"/>
        <v>15</v>
      </c>
      <c r="K257">
        <f t="shared" si="21"/>
        <v>46306.2</v>
      </c>
      <c r="L257">
        <f t="shared" si="22"/>
        <v>15.151515151515152</v>
      </c>
      <c r="M257">
        <f t="shared" si="23"/>
        <v>45843.137999999999</v>
      </c>
      <c r="O257" s="15"/>
      <c r="P257" s="15"/>
    </row>
    <row r="258" spans="1:16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 cm="1">
        <f t="array" ref="E258">_xlfn.XLOOKUP(1, (Лист1!$A258=Лист2!$A$2:$A$505)*(Лист1!$B258=Лист2!$B$2:$B$505),Лист2!$C$2:$C$505)</f>
        <v>18</v>
      </c>
      <c r="F258" s="7" cm="1">
        <f t="array" ref="F258">_xlfn.XLOOKUP(1, (Лист1!$A258=Лист2!$A$2:$A$505)*(Лист1!$B258=Лист2!$B$2:$B$505),Лист2!$D$2:$D$505)</f>
        <v>1505</v>
      </c>
      <c r="G258" s="7" cm="1">
        <f t="array" ref="G258">_xlfn.XLOOKUP(1, (Лист1!$A258=Лист2!$A$2:$A$505)*(Лист1!$B258=Лист2!$B$2:$B$505),Лист2!$E$2:$E$505)</f>
        <v>1368</v>
      </c>
      <c r="H258">
        <f t="shared" si="18"/>
        <v>126504</v>
      </c>
      <c r="I258">
        <f t="shared" si="19"/>
        <v>18</v>
      </c>
      <c r="J258">
        <f t="shared" si="20"/>
        <v>18.666666666666668</v>
      </c>
      <c r="K258">
        <f t="shared" si="21"/>
        <v>121985.99999999999</v>
      </c>
      <c r="L258">
        <f t="shared" si="22"/>
        <v>19.228571428571428</v>
      </c>
      <c r="M258">
        <f t="shared" si="23"/>
        <v>118421.2778603269</v>
      </c>
      <c r="O258" s="15"/>
      <c r="P258" s="15"/>
    </row>
    <row r="259" spans="1:16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 cm="1">
        <f t="array" ref="E259">_xlfn.XLOOKUP(1, (Лист1!$A259=Лист2!$A$2:$A$505)*(Лист1!$B259=Лист2!$B$2:$B$505),Лист2!$C$2:$C$505)</f>
        <v>15</v>
      </c>
      <c r="F259" s="7" cm="1">
        <f t="array" ref="F259">_xlfn.XLOOKUP(1, (Лист1!$A259=Лист2!$A$2:$A$505)*(Лист1!$B259=Лист2!$B$2:$B$505),Лист2!$D$2:$D$505)</f>
        <v>599</v>
      </c>
      <c r="G259" s="7" cm="1">
        <f t="array" ref="G259">_xlfn.XLOOKUP(1, (Лист1!$A259=Лист2!$A$2:$A$505)*(Лист1!$B259=Лист2!$B$2:$B$505),Лист2!$E$2:$E$505)</f>
        <v>515</v>
      </c>
      <c r="H259">
        <f t="shared" ref="H259:H322" si="24">$D259/$E259</f>
        <v>63327.5</v>
      </c>
      <c r="I259">
        <f t="shared" ref="I259:I322" si="25">WEEKNUM($A259,2)</f>
        <v>20</v>
      </c>
      <c r="J259">
        <f t="shared" ref="J259:J322" si="26">AVERAGEIFS($E$2:$E$505,$I$2:$I$505,$I259,$B$2:$B$505,$B259)</f>
        <v>15</v>
      </c>
      <c r="K259">
        <f t="shared" ref="K259:K322" si="27">$D259/$J259</f>
        <v>63327.5</v>
      </c>
      <c r="L259">
        <f t="shared" ref="L259:L322" si="28">AVERAGEIFS($E$2:$E$505,$B$2:$B$505,$B259)</f>
        <v>15.151515151515152</v>
      </c>
      <c r="M259">
        <f t="shared" ref="M259:M322" si="29">$D259/$L259</f>
        <v>62694.224999999999</v>
      </c>
      <c r="O259" s="15"/>
      <c r="P259" s="15"/>
    </row>
    <row r="260" spans="1:16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 cm="1">
        <f t="array" ref="E260">_xlfn.XLOOKUP(1, (Лист1!$A260=Лист2!$A$2:$A$505)*(Лист1!$B260=Лист2!$B$2:$B$505),Лист2!$C$2:$C$505)</f>
        <v>17</v>
      </c>
      <c r="F260" s="7" cm="1">
        <f t="array" ref="F260">_xlfn.XLOOKUP(1, (Лист1!$A260=Лист2!$A$2:$A$505)*(Лист1!$B260=Лист2!$B$2:$B$505),Лист2!$D$2:$D$505)</f>
        <v>1186</v>
      </c>
      <c r="G260" s="7" cm="1">
        <f t="array" ref="G260">_xlfn.XLOOKUP(1, (Лист1!$A260=Лист2!$A$2:$A$505)*(Лист1!$B260=Лист2!$B$2:$B$505),Лист2!$E$2:$E$505)</f>
        <v>1054</v>
      </c>
      <c r="H260">
        <f t="shared" si="24"/>
        <v>93654.088235294112</v>
      </c>
      <c r="I260">
        <f t="shared" si="25"/>
        <v>22</v>
      </c>
      <c r="J260">
        <f t="shared" si="26"/>
        <v>17</v>
      </c>
      <c r="K260">
        <f t="shared" si="27"/>
        <v>93654.088235294112</v>
      </c>
      <c r="L260">
        <f t="shared" si="28"/>
        <v>15.771428571428572</v>
      </c>
      <c r="M260">
        <f t="shared" si="29"/>
        <v>100949.60597826086</v>
      </c>
      <c r="O260" s="15"/>
      <c r="P260" s="15"/>
    </row>
    <row r="261" spans="1:16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 cm="1">
        <f t="array" ref="E261">_xlfn.XLOOKUP(1, (Лист1!$A261=Лист2!$A$2:$A$505)*(Лист1!$B261=Лист2!$B$2:$B$505),Лист2!$C$2:$C$505)</f>
        <v>15</v>
      </c>
      <c r="F261" s="7" cm="1">
        <f t="array" ref="F261">_xlfn.XLOOKUP(1, (Лист1!$A261=Лист2!$A$2:$A$505)*(Лист1!$B261=Лист2!$B$2:$B$505),Лист2!$D$2:$D$505)</f>
        <v>455</v>
      </c>
      <c r="G261" s="7" cm="1">
        <f t="array" ref="G261">_xlfn.XLOOKUP(1, (Лист1!$A261=Лист2!$A$2:$A$505)*(Лист1!$B261=Лист2!$B$2:$B$505),Лист2!$E$2:$E$505)</f>
        <v>384</v>
      </c>
      <c r="H261">
        <f t="shared" si="24"/>
        <v>44353.5</v>
      </c>
      <c r="I261">
        <f t="shared" si="25"/>
        <v>18</v>
      </c>
      <c r="J261">
        <f t="shared" si="26"/>
        <v>15</v>
      </c>
      <c r="K261">
        <f t="shared" si="27"/>
        <v>44353.5</v>
      </c>
      <c r="L261">
        <f t="shared" si="28"/>
        <v>15.151515151515152</v>
      </c>
      <c r="M261">
        <f t="shared" si="29"/>
        <v>43909.964999999997</v>
      </c>
      <c r="O261" s="15"/>
      <c r="P261" s="15"/>
    </row>
    <row r="262" spans="1:16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 cm="1">
        <f t="array" ref="E262">_xlfn.XLOOKUP(1, (Лист1!$A262=Лист2!$A$2:$A$505)*(Лист1!$B262=Лист2!$B$2:$B$505),Лист2!$C$2:$C$505)</f>
        <v>17</v>
      </c>
      <c r="F262" s="7" cm="1">
        <f t="array" ref="F262">_xlfn.XLOOKUP(1, (Лист1!$A262=Лист2!$A$2:$A$505)*(Лист1!$B262=Лист2!$B$2:$B$505),Лист2!$D$2:$D$505)</f>
        <v>1697</v>
      </c>
      <c r="G262" s="7" cm="1">
        <f t="array" ref="G262">_xlfn.XLOOKUP(1, (Лист1!$A262=Лист2!$A$2:$A$505)*(Лист1!$B262=Лист2!$B$2:$B$505),Лист2!$E$2:$E$505)</f>
        <v>1499</v>
      </c>
      <c r="H262">
        <f t="shared" si="24"/>
        <v>144544.23529411765</v>
      </c>
      <c r="I262">
        <f t="shared" si="25"/>
        <v>22</v>
      </c>
      <c r="J262">
        <f t="shared" si="26"/>
        <v>17</v>
      </c>
      <c r="K262">
        <f t="shared" si="27"/>
        <v>144544.23529411765</v>
      </c>
      <c r="L262">
        <f t="shared" si="28"/>
        <v>15.771428571428572</v>
      </c>
      <c r="M262">
        <f t="shared" si="29"/>
        <v>155804.02173913043</v>
      </c>
      <c r="O262" s="15"/>
      <c r="P262" s="15"/>
    </row>
    <row r="263" spans="1:16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 cm="1">
        <f t="array" ref="E263">_xlfn.XLOOKUP(1, (Лист1!$A263=Лист2!$A$2:$A$505)*(Лист1!$B263=Лист2!$B$2:$B$505),Лист2!$C$2:$C$505)</f>
        <v>15</v>
      </c>
      <c r="F263" s="7" cm="1">
        <f t="array" ref="F263">_xlfn.XLOOKUP(1, (Лист1!$A263=Лист2!$A$2:$A$505)*(Лист1!$B263=Лист2!$B$2:$B$505),Лист2!$D$2:$D$505)</f>
        <v>467</v>
      </c>
      <c r="G263" s="7" cm="1">
        <f t="array" ref="G263">_xlfn.XLOOKUP(1, (Лист1!$A263=Лист2!$A$2:$A$505)*(Лист1!$B263=Лист2!$B$2:$B$505),Лист2!$E$2:$E$505)</f>
        <v>389</v>
      </c>
      <c r="H263">
        <f t="shared" si="24"/>
        <v>49286.1</v>
      </c>
      <c r="I263">
        <f t="shared" si="25"/>
        <v>19</v>
      </c>
      <c r="J263">
        <f t="shared" si="26"/>
        <v>15</v>
      </c>
      <c r="K263">
        <f t="shared" si="27"/>
        <v>49286.1</v>
      </c>
      <c r="L263">
        <f t="shared" si="28"/>
        <v>15.151515151515152</v>
      </c>
      <c r="M263">
        <f t="shared" si="29"/>
        <v>48793.238999999994</v>
      </c>
      <c r="O263" s="15"/>
      <c r="P263" s="15"/>
    </row>
    <row r="264" spans="1:16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 cm="1">
        <f t="array" ref="E264">_xlfn.XLOOKUP(1, (Лист1!$A264=Лист2!$A$2:$A$505)*(Лист1!$B264=Лист2!$B$2:$B$505),Лист2!$C$2:$C$505)</f>
        <v>15</v>
      </c>
      <c r="F264" s="7" cm="1">
        <f t="array" ref="F264">_xlfn.XLOOKUP(1, (Лист1!$A264=Лист2!$A$2:$A$505)*(Лист1!$B264=Лист2!$B$2:$B$505),Лист2!$D$2:$D$505)</f>
        <v>840</v>
      </c>
      <c r="G264" s="7" cm="1">
        <f t="array" ref="G264">_xlfn.XLOOKUP(1, (Лист1!$A264=Лист2!$A$2:$A$505)*(Лист1!$B264=Лист2!$B$2:$B$505),Лист2!$E$2:$E$505)</f>
        <v>725</v>
      </c>
      <c r="H264">
        <f t="shared" si="24"/>
        <v>87671.7</v>
      </c>
      <c r="I264">
        <f t="shared" si="25"/>
        <v>21</v>
      </c>
      <c r="J264">
        <f t="shared" si="26"/>
        <v>15</v>
      </c>
      <c r="K264">
        <f t="shared" si="27"/>
        <v>87671.7</v>
      </c>
      <c r="L264">
        <f t="shared" si="28"/>
        <v>15.151515151515152</v>
      </c>
      <c r="M264">
        <f t="shared" si="29"/>
        <v>86794.982999999993</v>
      </c>
      <c r="O264" s="15"/>
      <c r="P264" s="15"/>
    </row>
    <row r="265" spans="1:16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 cm="1">
        <f t="array" ref="E265">_xlfn.XLOOKUP(1, (Лист1!$A265=Лист2!$A$2:$A$505)*(Лист1!$B265=Лист2!$B$2:$B$505),Лист2!$C$2:$C$505)</f>
        <v>17</v>
      </c>
      <c r="F265" s="7" cm="1">
        <f t="array" ref="F265">_xlfn.XLOOKUP(1, (Лист1!$A265=Лист2!$A$2:$A$505)*(Лист1!$B265=Лист2!$B$2:$B$505),Лист2!$D$2:$D$505)</f>
        <v>1097</v>
      </c>
      <c r="G265" s="7" cm="1">
        <f t="array" ref="G265">_xlfn.XLOOKUP(1, (Лист1!$A265=Лист2!$A$2:$A$505)*(Лист1!$B265=Лист2!$B$2:$B$505),Лист2!$E$2:$E$505)</f>
        <v>968</v>
      </c>
      <c r="H265">
        <f t="shared" si="24"/>
        <v>87525.176470588238</v>
      </c>
      <c r="I265">
        <f t="shared" si="25"/>
        <v>22</v>
      </c>
      <c r="J265">
        <f t="shared" si="26"/>
        <v>17</v>
      </c>
      <c r="K265">
        <f t="shared" si="27"/>
        <v>87525.176470588238</v>
      </c>
      <c r="L265">
        <f t="shared" si="28"/>
        <v>15.771428571428572</v>
      </c>
      <c r="M265">
        <f t="shared" si="29"/>
        <v>94343.260869565216</v>
      </c>
      <c r="O265" s="15"/>
      <c r="P265" s="15"/>
    </row>
    <row r="266" spans="1:16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 cm="1">
        <f t="array" ref="E266">_xlfn.XLOOKUP(1, (Лист1!$A266=Лист2!$A$2:$A$505)*(Лист1!$B266=Лист2!$B$2:$B$505),Лист2!$C$2:$C$505)</f>
        <v>15</v>
      </c>
      <c r="F266" s="7" cm="1">
        <f t="array" ref="F266">_xlfn.XLOOKUP(1, (Лист1!$A266=Лист2!$A$2:$A$505)*(Лист1!$B266=Лист2!$B$2:$B$505),Лист2!$D$2:$D$505)</f>
        <v>835</v>
      </c>
      <c r="G266" s="7" cm="1">
        <f t="array" ref="G266">_xlfn.XLOOKUP(1, (Лист1!$A266=Лист2!$A$2:$A$505)*(Лист1!$B266=Лист2!$B$2:$B$505),Лист2!$E$2:$E$505)</f>
        <v>736</v>
      </c>
      <c r="H266">
        <f t="shared" si="24"/>
        <v>82045.8</v>
      </c>
      <c r="I266">
        <f t="shared" si="25"/>
        <v>22</v>
      </c>
      <c r="J266">
        <f t="shared" si="26"/>
        <v>15.571428571428571</v>
      </c>
      <c r="K266">
        <f t="shared" si="27"/>
        <v>79034.944954128441</v>
      </c>
      <c r="L266">
        <f t="shared" si="28"/>
        <v>15.151515151515152</v>
      </c>
      <c r="M266">
        <f t="shared" si="29"/>
        <v>81225.34199999999</v>
      </c>
      <c r="O266" s="15"/>
      <c r="P266" s="15"/>
    </row>
    <row r="267" spans="1:16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 cm="1">
        <f t="array" ref="E267">_xlfn.XLOOKUP(1, (Лист1!$A267=Лист2!$A$2:$A$505)*(Лист1!$B267=Лист2!$B$2:$B$505),Лист2!$C$2:$C$505)</f>
        <v>15</v>
      </c>
      <c r="F267" s="7" cm="1">
        <f t="array" ref="F267">_xlfn.XLOOKUP(1, (Лист1!$A267=Лист2!$A$2:$A$505)*(Лист1!$B267=Лист2!$B$2:$B$505),Лист2!$D$2:$D$505)</f>
        <v>262</v>
      </c>
      <c r="G267" s="7" cm="1">
        <f t="array" ref="G267">_xlfn.XLOOKUP(1, (Лист1!$A267=Лист2!$A$2:$A$505)*(Лист1!$B267=Лист2!$B$2:$B$505),Лист2!$E$2:$E$505)</f>
        <v>195</v>
      </c>
      <c r="H267">
        <f t="shared" si="24"/>
        <v>26979.4</v>
      </c>
      <c r="I267">
        <f t="shared" si="25"/>
        <v>18</v>
      </c>
      <c r="J267">
        <f t="shared" si="26"/>
        <v>15</v>
      </c>
      <c r="K267">
        <f t="shared" si="27"/>
        <v>26979.4</v>
      </c>
      <c r="L267">
        <f t="shared" si="28"/>
        <v>15.151515151515152</v>
      </c>
      <c r="M267">
        <f t="shared" si="29"/>
        <v>26709.606</v>
      </c>
      <c r="O267" s="15"/>
      <c r="P267" s="15"/>
    </row>
    <row r="268" spans="1:16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 cm="1">
        <f t="array" ref="E268">_xlfn.XLOOKUP(1, (Лист1!$A268=Лист2!$A$2:$A$505)*(Лист1!$B268=Лист2!$B$2:$B$505),Лист2!$C$2:$C$505)</f>
        <v>15</v>
      </c>
      <c r="F268" s="7" cm="1">
        <f t="array" ref="F268">_xlfn.XLOOKUP(1, (Лист1!$A268=Лист2!$A$2:$A$505)*(Лист1!$B268=Лист2!$B$2:$B$505),Лист2!$D$2:$D$505)</f>
        <v>706</v>
      </c>
      <c r="G268" s="7" cm="1">
        <f t="array" ref="G268">_xlfn.XLOOKUP(1, (Лист1!$A268=Лист2!$A$2:$A$505)*(Лист1!$B268=Лист2!$B$2:$B$505),Лист2!$E$2:$E$505)</f>
        <v>608</v>
      </c>
      <c r="H268">
        <f t="shared" si="24"/>
        <v>79885.7</v>
      </c>
      <c r="I268">
        <f t="shared" si="25"/>
        <v>19</v>
      </c>
      <c r="J268">
        <f t="shared" si="26"/>
        <v>15</v>
      </c>
      <c r="K268">
        <f t="shared" si="27"/>
        <v>79885.7</v>
      </c>
      <c r="L268">
        <f t="shared" si="28"/>
        <v>15.151515151515152</v>
      </c>
      <c r="M268">
        <f t="shared" si="29"/>
        <v>79086.842999999993</v>
      </c>
      <c r="O268" s="15"/>
      <c r="P268" s="15"/>
    </row>
    <row r="269" spans="1:16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 cm="1">
        <f t="array" ref="E269">_xlfn.XLOOKUP(1, (Лист1!$A269=Лист2!$A$2:$A$505)*(Лист1!$B269=Лист2!$B$2:$B$505),Лист2!$C$2:$C$505)</f>
        <v>15</v>
      </c>
      <c r="F269" s="7" cm="1">
        <f t="array" ref="F269">_xlfn.XLOOKUP(1, (Лист1!$A269=Лист2!$A$2:$A$505)*(Лист1!$B269=Лист2!$B$2:$B$505),Лист2!$D$2:$D$505)</f>
        <v>492</v>
      </c>
      <c r="G269" s="7" cm="1">
        <f t="array" ref="G269">_xlfn.XLOOKUP(1, (Лист1!$A269=Лист2!$A$2:$A$505)*(Лист1!$B269=Лист2!$B$2:$B$505),Лист2!$E$2:$E$505)</f>
        <v>412</v>
      </c>
      <c r="H269">
        <f t="shared" si="24"/>
        <v>53250.6</v>
      </c>
      <c r="I269">
        <f t="shared" si="25"/>
        <v>19</v>
      </c>
      <c r="J269">
        <f t="shared" si="26"/>
        <v>15</v>
      </c>
      <c r="K269">
        <f t="shared" si="27"/>
        <v>53250.6</v>
      </c>
      <c r="L269">
        <f t="shared" si="28"/>
        <v>15.151515151515152</v>
      </c>
      <c r="M269">
        <f t="shared" si="29"/>
        <v>52718.093999999997</v>
      </c>
      <c r="O269" s="15"/>
      <c r="P269" s="15"/>
    </row>
    <row r="270" spans="1:16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 cm="1">
        <f t="array" ref="E270">_xlfn.XLOOKUP(1, (Лист1!$A270=Лист2!$A$2:$A$505)*(Лист1!$B270=Лист2!$B$2:$B$505),Лист2!$C$2:$C$505)</f>
        <v>15</v>
      </c>
      <c r="F270" s="7" cm="1">
        <f t="array" ref="F270">_xlfn.XLOOKUP(1, (Лист1!$A270=Лист2!$A$2:$A$505)*(Лист1!$B270=Лист2!$B$2:$B$505),Лист2!$D$2:$D$505)</f>
        <v>480</v>
      </c>
      <c r="G270" s="7" cm="1">
        <f t="array" ref="G270">_xlfn.XLOOKUP(1, (Лист1!$A270=Лист2!$A$2:$A$505)*(Лист1!$B270=Лист2!$B$2:$B$505),Лист2!$E$2:$E$505)</f>
        <v>398</v>
      </c>
      <c r="H270">
        <f t="shared" si="24"/>
        <v>51285.1</v>
      </c>
      <c r="I270">
        <f t="shared" si="25"/>
        <v>19</v>
      </c>
      <c r="J270">
        <f t="shared" si="26"/>
        <v>15</v>
      </c>
      <c r="K270">
        <f t="shared" si="27"/>
        <v>51285.1</v>
      </c>
      <c r="L270">
        <f t="shared" si="28"/>
        <v>15.151515151515152</v>
      </c>
      <c r="M270">
        <f t="shared" si="29"/>
        <v>50772.248999999996</v>
      </c>
      <c r="O270" s="15"/>
      <c r="P270" s="15"/>
    </row>
    <row r="271" spans="1:16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 cm="1">
        <f t="array" ref="E271">_xlfn.XLOOKUP(1, (Лист1!$A271=Лист2!$A$2:$A$505)*(Лист1!$B271=Лист2!$B$2:$B$505),Лист2!$C$2:$C$505)</f>
        <v>15</v>
      </c>
      <c r="F271" s="7" cm="1">
        <f t="array" ref="F271">_xlfn.XLOOKUP(1, (Лист1!$A271=Лист2!$A$2:$A$505)*(Лист1!$B271=Лист2!$B$2:$B$505),Лист2!$D$2:$D$505)</f>
        <v>779</v>
      </c>
      <c r="G271" s="7" cm="1">
        <f t="array" ref="G271">_xlfn.XLOOKUP(1, (Лист1!$A271=Лист2!$A$2:$A$505)*(Лист1!$B271=Лист2!$B$2:$B$505),Лист2!$E$2:$E$505)</f>
        <v>673</v>
      </c>
      <c r="H271">
        <f t="shared" si="24"/>
        <v>78991</v>
      </c>
      <c r="I271">
        <f t="shared" si="25"/>
        <v>21</v>
      </c>
      <c r="J271">
        <f t="shared" si="26"/>
        <v>15</v>
      </c>
      <c r="K271">
        <f t="shared" si="27"/>
        <v>78991</v>
      </c>
      <c r="L271">
        <f t="shared" si="28"/>
        <v>15.151515151515152</v>
      </c>
      <c r="M271">
        <f t="shared" si="29"/>
        <v>78201.09</v>
      </c>
      <c r="O271" s="15"/>
      <c r="P271" s="15"/>
    </row>
    <row r="272" spans="1:16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 cm="1">
        <f t="array" ref="E272">_xlfn.XLOOKUP(1, (Лист1!$A272=Лист2!$A$2:$A$505)*(Лист1!$B272=Лист2!$B$2:$B$505),Лист2!$C$2:$C$505)</f>
        <v>19</v>
      </c>
      <c r="F272" s="7" cm="1">
        <f t="array" ref="F272">_xlfn.XLOOKUP(1, (Лист1!$A272=Лист2!$A$2:$A$505)*(Лист1!$B272=Лист2!$B$2:$B$505),Лист2!$D$2:$D$505)</f>
        <v>2039</v>
      </c>
      <c r="G272" s="7" cm="1">
        <f t="array" ref="G272">_xlfn.XLOOKUP(1, (Лист1!$A272=Лист2!$A$2:$A$505)*(Лист1!$B272=Лист2!$B$2:$B$505),Лист2!$E$2:$E$505)</f>
        <v>1868</v>
      </c>
      <c r="H272">
        <f t="shared" si="24"/>
        <v>153835.97368421053</v>
      </c>
      <c r="I272">
        <f t="shared" si="25"/>
        <v>20</v>
      </c>
      <c r="J272">
        <f t="shared" si="26"/>
        <v>19</v>
      </c>
      <c r="K272">
        <f t="shared" si="27"/>
        <v>153835.97368421053</v>
      </c>
      <c r="L272">
        <f t="shared" si="28"/>
        <v>19.228571428571428</v>
      </c>
      <c r="M272">
        <f t="shared" si="29"/>
        <v>152007.31426448739</v>
      </c>
      <c r="O272" s="15"/>
      <c r="P272" s="15"/>
    </row>
    <row r="273" spans="1:16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 cm="1">
        <f t="array" ref="E273">_xlfn.XLOOKUP(1, (Лист1!$A273=Лист2!$A$2:$A$505)*(Лист1!$B273=Лист2!$B$2:$B$505),Лист2!$C$2:$C$505)</f>
        <v>19</v>
      </c>
      <c r="F273" s="7" cm="1">
        <f t="array" ref="F273">_xlfn.XLOOKUP(1, (Лист1!$A273=Лист2!$A$2:$A$505)*(Лист1!$B273=Лист2!$B$2:$B$505),Лист2!$D$2:$D$505)</f>
        <v>1831</v>
      </c>
      <c r="G273" s="7" cm="1">
        <f t="array" ref="G273">_xlfn.XLOOKUP(1, (Лист1!$A273=Лист2!$A$2:$A$505)*(Лист1!$B273=Лист2!$B$2:$B$505),Лист2!$E$2:$E$505)</f>
        <v>1667</v>
      </c>
      <c r="H273">
        <f t="shared" si="24"/>
        <v>128764.73684210527</v>
      </c>
      <c r="I273">
        <f t="shared" si="25"/>
        <v>21</v>
      </c>
      <c r="J273">
        <f t="shared" si="26"/>
        <v>19</v>
      </c>
      <c r="K273">
        <f t="shared" si="27"/>
        <v>128764.73684210527</v>
      </c>
      <c r="L273">
        <f t="shared" si="28"/>
        <v>19.228571428571428</v>
      </c>
      <c r="M273">
        <f t="shared" si="29"/>
        <v>127234.10104011888</v>
      </c>
      <c r="O273" s="15"/>
      <c r="P273" s="15"/>
    </row>
    <row r="274" spans="1:16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 cm="1">
        <f t="array" ref="E274">_xlfn.XLOOKUP(1, (Лист1!$A274=Лист2!$A$2:$A$505)*(Лист1!$B274=Лист2!$B$2:$B$505),Лист2!$C$2:$C$505)</f>
        <v>19</v>
      </c>
      <c r="F274" s="7" cm="1">
        <f t="array" ref="F274">_xlfn.XLOOKUP(1, (Лист1!$A274=Лист2!$A$2:$A$505)*(Лист1!$B274=Лист2!$B$2:$B$505),Лист2!$D$2:$D$505)</f>
        <v>1790</v>
      </c>
      <c r="G274" s="7" cm="1">
        <f t="array" ref="G274">_xlfn.XLOOKUP(1, (Лист1!$A274=Лист2!$A$2:$A$505)*(Лист1!$B274=Лист2!$B$2:$B$505),Лист2!$E$2:$E$505)</f>
        <v>1633</v>
      </c>
      <c r="H274">
        <f t="shared" si="24"/>
        <v>128191.18421052632</v>
      </c>
      <c r="I274">
        <f t="shared" si="25"/>
        <v>20</v>
      </c>
      <c r="J274">
        <f t="shared" si="26"/>
        <v>19</v>
      </c>
      <c r="K274">
        <f t="shared" si="27"/>
        <v>128191.18421052632</v>
      </c>
      <c r="L274">
        <f t="shared" si="28"/>
        <v>19.228571428571428</v>
      </c>
      <c r="M274">
        <f t="shared" si="29"/>
        <v>126667.36627043091</v>
      </c>
      <c r="O274" s="15"/>
      <c r="P274" s="15"/>
    </row>
    <row r="275" spans="1:16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 cm="1">
        <f t="array" ref="E275">_xlfn.XLOOKUP(1, (Лист1!$A275=Лист2!$A$2:$A$505)*(Лист1!$B275=Лист2!$B$2:$B$505),Лист2!$C$2:$C$505)</f>
        <v>19</v>
      </c>
      <c r="F275" s="7" cm="1">
        <f t="array" ref="F275">_xlfn.XLOOKUP(1, (Лист1!$A275=Лист2!$A$2:$A$505)*(Лист1!$B275=Лист2!$B$2:$B$505),Лист2!$D$2:$D$505)</f>
        <v>1542</v>
      </c>
      <c r="G275" s="7" cm="1">
        <f t="array" ref="G275">_xlfn.XLOOKUP(1, (Лист1!$A275=Лист2!$A$2:$A$505)*(Лист1!$B275=Лист2!$B$2:$B$505),Лист2!$E$2:$E$505)</f>
        <v>1412</v>
      </c>
      <c r="H275">
        <f t="shared" si="24"/>
        <v>125523</v>
      </c>
      <c r="I275">
        <f t="shared" si="25"/>
        <v>19</v>
      </c>
      <c r="J275">
        <f t="shared" si="26"/>
        <v>19</v>
      </c>
      <c r="K275">
        <f t="shared" si="27"/>
        <v>125523</v>
      </c>
      <c r="L275">
        <f t="shared" si="28"/>
        <v>19.228571428571428</v>
      </c>
      <c r="M275">
        <f t="shared" si="29"/>
        <v>124030.89895988113</v>
      </c>
      <c r="O275" s="15"/>
      <c r="P275" s="15"/>
    </row>
    <row r="276" spans="1:16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 cm="1">
        <f t="array" ref="E276">_xlfn.XLOOKUP(1, (Лист1!$A276=Лист2!$A$2:$A$505)*(Лист1!$B276=Лист2!$B$2:$B$505),Лист2!$C$2:$C$505)</f>
        <v>19</v>
      </c>
      <c r="F276" s="7" cm="1">
        <f t="array" ref="F276">_xlfn.XLOOKUP(1, (Лист1!$A276=Лист2!$A$2:$A$505)*(Лист1!$B276=Лист2!$B$2:$B$505),Лист2!$D$2:$D$505)</f>
        <v>1479</v>
      </c>
      <c r="G276" s="7" cm="1">
        <f t="array" ref="G276">_xlfn.XLOOKUP(1, (Лист1!$A276=Лист2!$A$2:$A$505)*(Лист1!$B276=Лист2!$B$2:$B$505),Лист2!$E$2:$E$505)</f>
        <v>1346</v>
      </c>
      <c r="H276">
        <f t="shared" si="24"/>
        <v>113456.21052631579</v>
      </c>
      <c r="I276">
        <f t="shared" si="25"/>
        <v>19</v>
      </c>
      <c r="J276">
        <f t="shared" si="26"/>
        <v>19</v>
      </c>
      <c r="K276">
        <f t="shared" si="27"/>
        <v>113456.21052631579</v>
      </c>
      <c r="L276">
        <f t="shared" si="28"/>
        <v>19.228571428571428</v>
      </c>
      <c r="M276">
        <f t="shared" si="29"/>
        <v>112107.5482912333</v>
      </c>
      <c r="O276" s="15"/>
      <c r="P276" s="15"/>
    </row>
    <row r="277" spans="1:16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 cm="1">
        <f t="array" ref="E277">_xlfn.XLOOKUP(1, (Лист1!$A277=Лист2!$A$2:$A$505)*(Лист1!$B277=Лист2!$B$2:$B$505),Лист2!$C$2:$C$505)</f>
        <v>19</v>
      </c>
      <c r="F277" s="7" cm="1">
        <f t="array" ref="F277">_xlfn.XLOOKUP(1, (Лист1!$A277=Лист2!$A$2:$A$505)*(Лист1!$B277=Лист2!$B$2:$B$505),Лист2!$D$2:$D$505)</f>
        <v>1206</v>
      </c>
      <c r="G277" s="7" cm="1">
        <f t="array" ref="G277">_xlfn.XLOOKUP(1, (Лист1!$A277=Лист2!$A$2:$A$505)*(Лист1!$B277=Лист2!$B$2:$B$505),Лист2!$E$2:$E$505)</f>
        <v>1080</v>
      </c>
      <c r="H277">
        <f t="shared" si="24"/>
        <v>88571.131578947374</v>
      </c>
      <c r="I277">
        <f t="shared" si="25"/>
        <v>18</v>
      </c>
      <c r="J277">
        <f t="shared" si="26"/>
        <v>18.666666666666668</v>
      </c>
      <c r="K277">
        <f t="shared" si="27"/>
        <v>90152.75892857142</v>
      </c>
      <c r="L277">
        <f t="shared" si="28"/>
        <v>19.228571428571428</v>
      </c>
      <c r="M277">
        <f t="shared" si="29"/>
        <v>87518.28008915305</v>
      </c>
      <c r="O277" s="15"/>
      <c r="P277" s="15"/>
    </row>
    <row r="278" spans="1:16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 cm="1">
        <f t="array" ref="E278">_xlfn.XLOOKUP(1, (Лист1!$A278=Лист2!$A$2:$A$505)*(Лист1!$B278=Лист2!$B$2:$B$505),Лист2!$C$2:$C$505)</f>
        <v>20</v>
      </c>
      <c r="F278" s="7" cm="1">
        <f t="array" ref="F278">_xlfn.XLOOKUP(1, (Лист1!$A278=Лист2!$A$2:$A$505)*(Лист1!$B278=Лист2!$B$2:$B$505),Лист2!$D$2:$D$505)</f>
        <v>1814</v>
      </c>
      <c r="G278" s="7" cm="1">
        <f t="array" ref="G278">_xlfn.XLOOKUP(1, (Лист1!$A278=Лист2!$A$2:$A$505)*(Лист1!$B278=Лист2!$B$2:$B$505),Лист2!$E$2:$E$505)</f>
        <v>1655</v>
      </c>
      <c r="H278">
        <f t="shared" si="24"/>
        <v>120540.15</v>
      </c>
      <c r="I278">
        <f t="shared" si="25"/>
        <v>22</v>
      </c>
      <c r="J278">
        <f t="shared" si="26"/>
        <v>20.142857142857142</v>
      </c>
      <c r="K278">
        <f t="shared" si="27"/>
        <v>119685.25531914894</v>
      </c>
      <c r="L278">
        <f t="shared" si="28"/>
        <v>19.228571428571428</v>
      </c>
      <c r="M278">
        <f t="shared" si="29"/>
        <v>125376.08469539376</v>
      </c>
      <c r="O278" s="15"/>
      <c r="P278" s="15"/>
    </row>
    <row r="279" spans="1:16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 cm="1">
        <f t="array" ref="E279">_xlfn.XLOOKUP(1, (Лист1!$A279=Лист2!$A$2:$A$505)*(Лист1!$B279=Лист2!$B$2:$B$505),Лист2!$C$2:$C$505)</f>
        <v>19</v>
      </c>
      <c r="F279" s="7" cm="1">
        <f t="array" ref="F279">_xlfn.XLOOKUP(1, (Лист1!$A279=Лист2!$A$2:$A$505)*(Лист1!$B279=Лист2!$B$2:$B$505),Лист2!$D$2:$D$505)</f>
        <v>1987</v>
      </c>
      <c r="G279" s="7" cm="1">
        <f t="array" ref="G279">_xlfn.XLOOKUP(1, (Лист1!$A279=Лист2!$A$2:$A$505)*(Лист1!$B279=Лист2!$B$2:$B$505),Лист2!$E$2:$E$505)</f>
        <v>1791</v>
      </c>
      <c r="H279">
        <f t="shared" si="24"/>
        <v>166763.68421052632</v>
      </c>
      <c r="I279">
        <f t="shared" si="25"/>
        <v>18</v>
      </c>
      <c r="J279">
        <f t="shared" si="26"/>
        <v>18.666666666666668</v>
      </c>
      <c r="K279">
        <f t="shared" si="27"/>
        <v>169741.60714285713</v>
      </c>
      <c r="L279">
        <f t="shared" si="28"/>
        <v>19.228571428571428</v>
      </c>
      <c r="M279">
        <f t="shared" si="29"/>
        <v>164781.35215453195</v>
      </c>
      <c r="O279" s="15"/>
      <c r="P279" s="15"/>
    </row>
    <row r="280" spans="1:16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 cm="1">
        <f t="array" ref="E280">_xlfn.XLOOKUP(1, (Лист1!$A280=Лист2!$A$2:$A$505)*(Лист1!$B280=Лист2!$B$2:$B$505),Лист2!$C$2:$C$505)</f>
        <v>19</v>
      </c>
      <c r="F280" s="7" cm="1">
        <f t="array" ref="F280">_xlfn.XLOOKUP(1, (Лист1!$A280=Лист2!$A$2:$A$505)*(Лист1!$B280=Лист2!$B$2:$B$505),Лист2!$D$2:$D$505)</f>
        <v>1598</v>
      </c>
      <c r="G280" s="7" cm="1">
        <f t="array" ref="G280">_xlfn.XLOOKUP(1, (Лист1!$A280=Лист2!$A$2:$A$505)*(Лист1!$B280=Лист2!$B$2:$B$505),Лист2!$E$2:$E$505)</f>
        <v>1454</v>
      </c>
      <c r="H280">
        <f t="shared" si="24"/>
        <v>118061.05263157895</v>
      </c>
      <c r="I280">
        <f t="shared" si="25"/>
        <v>20</v>
      </c>
      <c r="J280">
        <f t="shared" si="26"/>
        <v>19</v>
      </c>
      <c r="K280">
        <f t="shared" si="27"/>
        <v>118061.05263157895</v>
      </c>
      <c r="L280">
        <f t="shared" si="28"/>
        <v>19.228571428571428</v>
      </c>
      <c r="M280">
        <f t="shared" si="29"/>
        <v>116657.65230312037</v>
      </c>
      <c r="O280" s="15"/>
      <c r="P280" s="15"/>
    </row>
    <row r="281" spans="1:16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 cm="1">
        <f t="array" ref="E281">_xlfn.XLOOKUP(1, (Лист1!$A281=Лист2!$A$2:$A$505)*(Лист1!$B281=Лист2!$B$2:$B$505),Лист2!$C$2:$C$505)</f>
        <v>19</v>
      </c>
      <c r="F281" s="7" cm="1">
        <f t="array" ref="F281">_xlfn.XLOOKUP(1, (Лист1!$A281=Лист2!$A$2:$A$505)*(Лист1!$B281=Лист2!$B$2:$B$505),Лист2!$D$2:$D$505)</f>
        <v>1650</v>
      </c>
      <c r="G281" s="7" cm="1">
        <f t="array" ref="G281">_xlfn.XLOOKUP(1, (Лист1!$A281=Лист2!$A$2:$A$505)*(Лист1!$B281=Лист2!$B$2:$B$505),Лист2!$E$2:$E$505)</f>
        <v>1505</v>
      </c>
      <c r="H281">
        <f t="shared" si="24"/>
        <v>115733.44736842105</v>
      </c>
      <c r="I281">
        <f t="shared" si="25"/>
        <v>21</v>
      </c>
      <c r="J281">
        <f t="shared" si="26"/>
        <v>19</v>
      </c>
      <c r="K281">
        <f t="shared" si="27"/>
        <v>115733.44736842105</v>
      </c>
      <c r="L281">
        <f t="shared" si="28"/>
        <v>19.228571428571428</v>
      </c>
      <c r="M281">
        <f t="shared" si="29"/>
        <v>114357.71545319466</v>
      </c>
      <c r="O281" s="15"/>
      <c r="P281" s="15"/>
    </row>
    <row r="282" spans="1:16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 cm="1">
        <f t="array" ref="E282">_xlfn.XLOOKUP(1, (Лист1!$A282=Лист2!$A$2:$A$505)*(Лист1!$B282=Лист2!$B$2:$B$505),Лист2!$C$2:$C$505)</f>
        <v>19</v>
      </c>
      <c r="F282" s="7" cm="1">
        <f t="array" ref="F282">_xlfn.XLOOKUP(1, (Лист1!$A282=Лист2!$A$2:$A$505)*(Лист1!$B282=Лист2!$B$2:$B$505),Лист2!$D$2:$D$505)</f>
        <v>1823</v>
      </c>
      <c r="G282" s="7" cm="1">
        <f t="array" ref="G282">_xlfn.XLOOKUP(1, (Лист1!$A282=Лист2!$A$2:$A$505)*(Лист1!$B282=Лист2!$B$2:$B$505),Лист2!$E$2:$E$505)</f>
        <v>1678</v>
      </c>
      <c r="H282">
        <f t="shared" si="24"/>
        <v>132671.52631578947</v>
      </c>
      <c r="I282">
        <f t="shared" si="25"/>
        <v>21</v>
      </c>
      <c r="J282">
        <f t="shared" si="26"/>
        <v>19</v>
      </c>
      <c r="K282">
        <f t="shared" si="27"/>
        <v>132671.52631578947</v>
      </c>
      <c r="L282">
        <f t="shared" si="28"/>
        <v>19.228571428571428</v>
      </c>
      <c r="M282">
        <f t="shared" si="29"/>
        <v>131094.45022288262</v>
      </c>
      <c r="O282" s="15"/>
      <c r="P282" s="15"/>
    </row>
    <row r="283" spans="1:16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 cm="1">
        <f t="array" ref="E283">_xlfn.XLOOKUP(1, (Лист1!$A283=Лист2!$A$2:$A$505)*(Лист1!$B283=Лист2!$B$2:$B$505),Лист2!$C$2:$C$505)</f>
        <v>19</v>
      </c>
      <c r="F283" s="7" cm="1">
        <f t="array" ref="F283">_xlfn.XLOOKUP(1, (Лист1!$A283=Лист2!$A$2:$A$505)*(Лист1!$B283=Лист2!$B$2:$B$505),Лист2!$D$2:$D$505)</f>
        <v>1622</v>
      </c>
      <c r="G283" s="7" cm="1">
        <f t="array" ref="G283">_xlfn.XLOOKUP(1, (Лист1!$A283=Лист2!$A$2:$A$505)*(Лист1!$B283=Лист2!$B$2:$B$505),Лист2!$E$2:$E$505)</f>
        <v>1482</v>
      </c>
      <c r="H283">
        <f t="shared" si="24"/>
        <v>125280.71052631579</v>
      </c>
      <c r="I283">
        <f t="shared" si="25"/>
        <v>19</v>
      </c>
      <c r="J283">
        <f t="shared" si="26"/>
        <v>19</v>
      </c>
      <c r="K283">
        <f t="shared" si="27"/>
        <v>125280.71052631579</v>
      </c>
      <c r="L283">
        <f t="shared" si="28"/>
        <v>19.228571428571428</v>
      </c>
      <c r="M283">
        <f t="shared" si="29"/>
        <v>123791.4895988113</v>
      </c>
      <c r="O283" s="15"/>
      <c r="P283" s="15"/>
    </row>
    <row r="284" spans="1:16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 cm="1">
        <f t="array" ref="E284">_xlfn.XLOOKUP(1, (Лист1!$A284=Лист2!$A$2:$A$505)*(Лист1!$B284=Лист2!$B$2:$B$505),Лист2!$C$2:$C$505)</f>
        <v>19</v>
      </c>
      <c r="F284" s="7" cm="1">
        <f t="array" ref="F284">_xlfn.XLOOKUP(1, (Лист1!$A284=Лист2!$A$2:$A$505)*(Лист1!$B284=Лист2!$B$2:$B$505),Лист2!$D$2:$D$505)</f>
        <v>1605</v>
      </c>
      <c r="G284" s="7" cm="1">
        <f t="array" ref="G284">_xlfn.XLOOKUP(1, (Лист1!$A284=Лист2!$A$2:$A$505)*(Лист1!$B284=Лист2!$B$2:$B$505),Лист2!$E$2:$E$505)</f>
        <v>1447</v>
      </c>
      <c r="H284">
        <f t="shared" si="24"/>
        <v>119139.55263157895</v>
      </c>
      <c r="I284">
        <f t="shared" si="25"/>
        <v>20</v>
      </c>
      <c r="J284">
        <f t="shared" si="26"/>
        <v>19</v>
      </c>
      <c r="K284">
        <f t="shared" si="27"/>
        <v>119139.55263157895</v>
      </c>
      <c r="L284">
        <f t="shared" si="28"/>
        <v>19.228571428571428</v>
      </c>
      <c r="M284">
        <f t="shared" si="29"/>
        <v>117723.33209509659</v>
      </c>
      <c r="O284" s="15"/>
      <c r="P284" s="15"/>
    </row>
    <row r="285" spans="1:16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 cm="1">
        <f t="array" ref="E285">_xlfn.XLOOKUP(1, (Лист1!$A285=Лист2!$A$2:$A$505)*(Лист1!$B285=Лист2!$B$2:$B$505),Лист2!$C$2:$C$505)</f>
        <v>16</v>
      </c>
      <c r="F285" s="7" cm="1">
        <f t="array" ref="F285">_xlfn.XLOOKUP(1, (Лист1!$A285=Лист2!$A$2:$A$505)*(Лист1!$B285=Лист2!$B$2:$B$505),Лист2!$D$2:$D$505)</f>
        <v>917</v>
      </c>
      <c r="G285" s="7" cm="1">
        <f t="array" ref="G285">_xlfn.XLOOKUP(1, (Лист1!$A285=Лист2!$A$2:$A$505)*(Лист1!$B285=Лист2!$B$2:$B$505),Лист2!$E$2:$E$505)</f>
        <v>802</v>
      </c>
      <c r="H285">
        <f t="shared" si="24"/>
        <v>83549.34375</v>
      </c>
      <c r="I285">
        <f t="shared" si="25"/>
        <v>22</v>
      </c>
      <c r="J285">
        <f t="shared" si="26"/>
        <v>15.571428571428571</v>
      </c>
      <c r="K285">
        <f t="shared" si="27"/>
        <v>85848.866972477059</v>
      </c>
      <c r="L285">
        <f t="shared" si="28"/>
        <v>15.151515151515152</v>
      </c>
      <c r="M285">
        <f t="shared" si="29"/>
        <v>88228.106999999989</v>
      </c>
      <c r="O285" s="15"/>
      <c r="P285" s="15"/>
    </row>
    <row r="286" spans="1:16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 cm="1">
        <f t="array" ref="E286">_xlfn.XLOOKUP(1, (Лист1!$A286=Лист2!$A$2:$A$505)*(Лист1!$B286=Лист2!$B$2:$B$505),Лист2!$C$2:$C$505)</f>
        <v>19</v>
      </c>
      <c r="F286" s="7" cm="1">
        <f t="array" ref="F286">_xlfn.XLOOKUP(1, (Лист1!$A286=Лист2!$A$2:$A$505)*(Лист1!$B286=Лист2!$B$2:$B$505),Лист2!$D$2:$D$505)</f>
        <v>1314</v>
      </c>
      <c r="G286" s="7" cm="1">
        <f t="array" ref="G286">_xlfn.XLOOKUP(1, (Лист1!$A286=Лист2!$A$2:$A$505)*(Лист1!$B286=Лист2!$B$2:$B$505),Лист2!$E$2:$E$505)</f>
        <v>1192</v>
      </c>
      <c r="H286">
        <f t="shared" si="24"/>
        <v>100345.10526315789</v>
      </c>
      <c r="I286">
        <f t="shared" si="25"/>
        <v>18</v>
      </c>
      <c r="J286">
        <f t="shared" si="26"/>
        <v>18.666666666666668</v>
      </c>
      <c r="K286">
        <f t="shared" si="27"/>
        <v>102136.98214285713</v>
      </c>
      <c r="L286">
        <f t="shared" si="28"/>
        <v>19.228571428571428</v>
      </c>
      <c r="M286">
        <f t="shared" si="29"/>
        <v>99152.295690936109</v>
      </c>
      <c r="O286" s="15"/>
      <c r="P286" s="15"/>
    </row>
    <row r="287" spans="1:16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 cm="1">
        <f t="array" ref="E287">_xlfn.XLOOKUP(1, (Лист1!$A287=Лист2!$A$2:$A$505)*(Лист1!$B287=Лист2!$B$2:$B$505),Лист2!$C$2:$C$505)</f>
        <v>16</v>
      </c>
      <c r="F287" s="7" cm="1">
        <f t="array" ref="F287">_xlfn.XLOOKUP(1, (Лист1!$A287=Лист2!$A$2:$A$505)*(Лист1!$B287=Лист2!$B$2:$B$505),Лист2!$D$2:$D$505)</f>
        <v>1048</v>
      </c>
      <c r="G287" s="7" cm="1">
        <f t="array" ref="G287">_xlfn.XLOOKUP(1, (Лист1!$A287=Лист2!$A$2:$A$505)*(Лист1!$B287=Лист2!$B$2:$B$505),Лист2!$E$2:$E$505)</f>
        <v>918</v>
      </c>
      <c r="H287">
        <f t="shared" si="24"/>
        <v>100568.15625</v>
      </c>
      <c r="I287">
        <f t="shared" si="25"/>
        <v>22</v>
      </c>
      <c r="J287">
        <f t="shared" si="26"/>
        <v>15.571428571428571</v>
      </c>
      <c r="K287">
        <f t="shared" si="27"/>
        <v>103336.08715596331</v>
      </c>
      <c r="L287">
        <f t="shared" si="28"/>
        <v>15.151515151515152</v>
      </c>
      <c r="M287">
        <f t="shared" si="29"/>
        <v>106199.973</v>
      </c>
      <c r="O287" s="15"/>
      <c r="P287" s="15"/>
    </row>
    <row r="288" spans="1:16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 cm="1">
        <f t="array" ref="E288">_xlfn.XLOOKUP(1, (Лист1!$A288=Лист2!$A$2:$A$505)*(Лист1!$B288=Лист2!$B$2:$B$505),Лист2!$C$2:$C$505)</f>
        <v>19</v>
      </c>
      <c r="F288" s="7" cm="1">
        <f t="array" ref="F288">_xlfn.XLOOKUP(1, (Лист1!$A288=Лист2!$A$2:$A$505)*(Лист1!$B288=Лист2!$B$2:$B$505),Лист2!$D$2:$D$505)</f>
        <v>1509</v>
      </c>
      <c r="G288" s="7" cm="1">
        <f t="array" ref="G288">_xlfn.XLOOKUP(1, (Лист1!$A288=Лист2!$A$2:$A$505)*(Лист1!$B288=Лист2!$B$2:$B$505),Лист2!$E$2:$E$505)</f>
        <v>1374</v>
      </c>
      <c r="H288">
        <f t="shared" si="24"/>
        <v>113650.02631578948</v>
      </c>
      <c r="I288">
        <f t="shared" si="25"/>
        <v>19</v>
      </c>
      <c r="J288">
        <f t="shared" si="26"/>
        <v>19</v>
      </c>
      <c r="K288">
        <f t="shared" si="27"/>
        <v>113650.02631578948</v>
      </c>
      <c r="L288">
        <f t="shared" si="28"/>
        <v>19.228571428571428</v>
      </c>
      <c r="M288">
        <f t="shared" si="29"/>
        <v>112299.0601783061</v>
      </c>
      <c r="O288" s="15"/>
      <c r="P288" s="15"/>
    </row>
    <row r="289" spans="1:16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 cm="1">
        <f t="array" ref="E289">_xlfn.XLOOKUP(1, (Лист1!$A289=Лист2!$A$2:$A$505)*(Лист1!$B289=Лист2!$B$2:$B$505),Лист2!$C$2:$C$505)</f>
        <v>19</v>
      </c>
      <c r="F289" s="7" cm="1">
        <f t="array" ref="F289">_xlfn.XLOOKUP(1, (Лист1!$A289=Лист2!$A$2:$A$505)*(Лист1!$B289=Лист2!$B$2:$B$505),Лист2!$D$2:$D$505)</f>
        <v>2195</v>
      </c>
      <c r="G289" s="7" cm="1">
        <f t="array" ref="G289">_xlfn.XLOOKUP(1, (Лист1!$A289=Лист2!$A$2:$A$505)*(Лист1!$B289=Лист2!$B$2:$B$505),Лист2!$E$2:$E$505)</f>
        <v>1999</v>
      </c>
      <c r="H289">
        <f t="shared" si="24"/>
        <v>162586.34210526315</v>
      </c>
      <c r="I289">
        <f t="shared" si="25"/>
        <v>21</v>
      </c>
      <c r="J289">
        <f t="shared" si="26"/>
        <v>19</v>
      </c>
      <c r="K289">
        <f t="shared" si="27"/>
        <v>162586.34210526315</v>
      </c>
      <c r="L289">
        <f t="shared" si="28"/>
        <v>19.228571428571428</v>
      </c>
      <c r="M289">
        <f t="shared" si="29"/>
        <v>160653.66641901931</v>
      </c>
      <c r="O289" s="15"/>
      <c r="P289" s="15"/>
    </row>
    <row r="290" spans="1:16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 cm="1">
        <f t="array" ref="E290">_xlfn.XLOOKUP(1, (Лист1!$A290=Лист2!$A$2:$A$505)*(Лист1!$B290=Лист2!$B$2:$B$505),Лист2!$C$2:$C$505)</f>
        <v>16</v>
      </c>
      <c r="F290" s="7" cm="1">
        <f t="array" ref="F290">_xlfn.XLOOKUP(1, (Лист1!$A290=Лист2!$A$2:$A$505)*(Лист1!$B290=Лист2!$B$2:$B$505),Лист2!$D$2:$D$505)</f>
        <v>876</v>
      </c>
      <c r="G290" s="7" cm="1">
        <f t="array" ref="G290">_xlfn.XLOOKUP(1, (Лист1!$A290=Лист2!$A$2:$A$505)*(Лист1!$B290=Лист2!$B$2:$B$505),Лист2!$E$2:$E$505)</f>
        <v>762</v>
      </c>
      <c r="H290">
        <f t="shared" si="24"/>
        <v>77484.1875</v>
      </c>
      <c r="I290">
        <f t="shared" si="25"/>
        <v>22</v>
      </c>
      <c r="J290">
        <f t="shared" si="26"/>
        <v>15.571428571428571</v>
      </c>
      <c r="K290">
        <f t="shared" si="27"/>
        <v>79616.779816513765</v>
      </c>
      <c r="L290">
        <f t="shared" si="28"/>
        <v>15.151515151515152</v>
      </c>
      <c r="M290">
        <f t="shared" si="29"/>
        <v>81823.301999999996</v>
      </c>
      <c r="O290" s="15"/>
      <c r="P290" s="15"/>
    </row>
    <row r="291" spans="1:16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 cm="1">
        <f t="array" ref="E291">_xlfn.XLOOKUP(1, (Лист1!$A291=Лист2!$A$2:$A$505)*(Лист1!$B291=Лист2!$B$2:$B$505),Лист2!$C$2:$C$505)</f>
        <v>20</v>
      </c>
      <c r="F291" s="7" cm="1">
        <f t="array" ref="F291">_xlfn.XLOOKUP(1, (Лист1!$A291=Лист2!$A$2:$A$505)*(Лист1!$B291=Лист2!$B$2:$B$505),Лист2!$D$2:$D$505)</f>
        <v>1899</v>
      </c>
      <c r="G291" s="7" cm="1">
        <f t="array" ref="G291">_xlfn.XLOOKUP(1, (Лист1!$A291=Лист2!$A$2:$A$505)*(Лист1!$B291=Лист2!$B$2:$B$505),Лист2!$E$2:$E$505)</f>
        <v>1738</v>
      </c>
      <c r="H291">
        <f t="shared" si="24"/>
        <v>125640.15</v>
      </c>
      <c r="I291">
        <f t="shared" si="25"/>
        <v>22</v>
      </c>
      <c r="J291">
        <f t="shared" si="26"/>
        <v>20.142857142857142</v>
      </c>
      <c r="K291">
        <f t="shared" si="27"/>
        <v>124749.08510638298</v>
      </c>
      <c r="L291">
        <f t="shared" si="28"/>
        <v>19.228571428571428</v>
      </c>
      <c r="M291">
        <f t="shared" si="29"/>
        <v>130680.69093610698</v>
      </c>
      <c r="O291" s="15"/>
      <c r="P291" s="15"/>
    </row>
    <row r="292" spans="1:16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 cm="1">
        <f t="array" ref="E292">_xlfn.XLOOKUP(1, (Лист1!$A292=Лист2!$A$2:$A$505)*(Лист1!$B292=Лист2!$B$2:$B$505),Лист2!$C$2:$C$505)</f>
        <v>19</v>
      </c>
      <c r="F292" s="7" cm="1">
        <f t="array" ref="F292">_xlfn.XLOOKUP(1, (Лист1!$A292=Лист2!$A$2:$A$505)*(Лист1!$B292=Лист2!$B$2:$B$505),Лист2!$D$2:$D$505)</f>
        <v>1662</v>
      </c>
      <c r="G292" s="7" cm="1">
        <f t="array" ref="G292">_xlfn.XLOOKUP(1, (Лист1!$A292=Лист2!$A$2:$A$505)*(Лист1!$B292=Лист2!$B$2:$B$505),Лист2!$E$2:$E$505)</f>
        <v>1506</v>
      </c>
      <c r="H292">
        <f t="shared" si="24"/>
        <v>134741.05263157896</v>
      </c>
      <c r="I292">
        <f t="shared" si="25"/>
        <v>18</v>
      </c>
      <c r="J292">
        <f t="shared" si="26"/>
        <v>18.666666666666668</v>
      </c>
      <c r="K292">
        <f t="shared" si="27"/>
        <v>137147.14285714284</v>
      </c>
      <c r="L292">
        <f t="shared" si="28"/>
        <v>19.228571428571428</v>
      </c>
      <c r="M292">
        <f t="shared" si="29"/>
        <v>133139.37592867756</v>
      </c>
      <c r="O292" s="15"/>
      <c r="P292" s="15"/>
    </row>
    <row r="293" spans="1:16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 cm="1">
        <f t="array" ref="E293">_xlfn.XLOOKUP(1, (Лист1!$A293=Лист2!$A$2:$A$505)*(Лист1!$B293=Лист2!$B$2:$B$505),Лист2!$C$2:$C$505)</f>
        <v>19</v>
      </c>
      <c r="F293" s="7" cm="1">
        <f t="array" ref="F293">_xlfn.XLOOKUP(1, (Лист1!$A293=Лист2!$A$2:$A$505)*(Лист1!$B293=Лист2!$B$2:$B$505),Лист2!$D$2:$D$505)</f>
        <v>1836</v>
      </c>
      <c r="G293" s="7" cm="1">
        <f t="array" ref="G293">_xlfn.XLOOKUP(1, (Лист1!$A293=Лист2!$A$2:$A$505)*(Лист1!$B293=Лист2!$B$2:$B$505),Лист2!$E$2:$E$505)</f>
        <v>1680</v>
      </c>
      <c r="H293">
        <f t="shared" si="24"/>
        <v>145645.81578947368</v>
      </c>
      <c r="I293">
        <f t="shared" si="25"/>
        <v>19</v>
      </c>
      <c r="J293">
        <f t="shared" si="26"/>
        <v>19</v>
      </c>
      <c r="K293">
        <f t="shared" si="27"/>
        <v>145645.81578947368</v>
      </c>
      <c r="L293">
        <f t="shared" si="28"/>
        <v>19.228571428571428</v>
      </c>
      <c r="M293">
        <f t="shared" si="29"/>
        <v>143914.51337295692</v>
      </c>
      <c r="O293" s="15"/>
      <c r="P293" s="15"/>
    </row>
    <row r="294" spans="1:16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 cm="1">
        <f t="array" ref="E294">_xlfn.XLOOKUP(1, (Лист1!$A294=Лист2!$A$2:$A$505)*(Лист1!$B294=Лист2!$B$2:$B$505),Лист2!$C$2:$C$505)</f>
        <v>19</v>
      </c>
      <c r="F294" s="7" cm="1">
        <f t="array" ref="F294">_xlfn.XLOOKUP(1, (Лист1!$A294=Лист2!$A$2:$A$505)*(Лист1!$B294=Лист2!$B$2:$B$505),Лист2!$D$2:$D$505)</f>
        <v>1520</v>
      </c>
      <c r="G294" s="7" cm="1">
        <f t="array" ref="G294">_xlfn.XLOOKUP(1, (Лист1!$A294=Лист2!$A$2:$A$505)*(Лист1!$B294=Лист2!$B$2:$B$505),Лист2!$E$2:$E$505)</f>
        <v>1380</v>
      </c>
      <c r="H294">
        <f t="shared" si="24"/>
        <v>117682.10526315789</v>
      </c>
      <c r="I294">
        <f t="shared" si="25"/>
        <v>19</v>
      </c>
      <c r="J294">
        <f t="shared" si="26"/>
        <v>19</v>
      </c>
      <c r="K294">
        <f t="shared" si="27"/>
        <v>117682.10526315789</v>
      </c>
      <c r="L294">
        <f t="shared" si="28"/>
        <v>19.228571428571428</v>
      </c>
      <c r="M294">
        <f t="shared" si="29"/>
        <v>116283.20950965825</v>
      </c>
      <c r="O294" s="15"/>
      <c r="P294" s="15"/>
    </row>
    <row r="295" spans="1:16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 cm="1">
        <f t="array" ref="E295">_xlfn.XLOOKUP(1, (Лист1!$A295=Лист2!$A$2:$A$505)*(Лист1!$B295=Лист2!$B$2:$B$505),Лист2!$C$2:$C$505)</f>
        <v>19</v>
      </c>
      <c r="F295" s="7" cm="1">
        <f t="array" ref="F295">_xlfn.XLOOKUP(1, (Лист1!$A295=Лист2!$A$2:$A$505)*(Лист1!$B295=Лист2!$B$2:$B$505),Лист2!$D$2:$D$505)</f>
        <v>1580</v>
      </c>
      <c r="G295" s="7" cm="1">
        <f t="array" ref="G295">_xlfn.XLOOKUP(1, (Лист1!$A295=Лист2!$A$2:$A$505)*(Лист1!$B295=Лист2!$B$2:$B$505),Лист2!$E$2:$E$505)</f>
        <v>1435</v>
      </c>
      <c r="H295">
        <f t="shared" si="24"/>
        <v>121491.39473684211</v>
      </c>
      <c r="I295">
        <f t="shared" si="25"/>
        <v>19</v>
      </c>
      <c r="J295">
        <f t="shared" si="26"/>
        <v>19</v>
      </c>
      <c r="K295">
        <f t="shared" si="27"/>
        <v>121491.39473684211</v>
      </c>
      <c r="L295">
        <f t="shared" si="28"/>
        <v>19.228571428571428</v>
      </c>
      <c r="M295">
        <f t="shared" si="29"/>
        <v>120047.21768202081</v>
      </c>
      <c r="O295" s="15"/>
      <c r="P295" s="15"/>
    </row>
    <row r="296" spans="1:16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 cm="1">
        <f t="array" ref="E296">_xlfn.XLOOKUP(1, (Лист1!$A296=Лист2!$A$2:$A$505)*(Лист1!$B296=Лист2!$B$2:$B$505),Лист2!$C$2:$C$505)</f>
        <v>19</v>
      </c>
      <c r="F296" s="7" cm="1">
        <f t="array" ref="F296">_xlfn.XLOOKUP(1, (Лист1!$A296=Лист2!$A$2:$A$505)*(Лист1!$B296=Лист2!$B$2:$B$505),Лист2!$D$2:$D$505)</f>
        <v>1868</v>
      </c>
      <c r="G296" s="7" cm="1">
        <f t="array" ref="G296">_xlfn.XLOOKUP(1, (Лист1!$A296=Лист2!$A$2:$A$505)*(Лист1!$B296=Лист2!$B$2:$B$505),Лист2!$E$2:$E$505)</f>
        <v>1706</v>
      </c>
      <c r="H296">
        <f t="shared" si="24"/>
        <v>132995.21052631579</v>
      </c>
      <c r="I296">
        <f t="shared" si="25"/>
        <v>21</v>
      </c>
      <c r="J296">
        <f t="shared" si="26"/>
        <v>19</v>
      </c>
      <c r="K296">
        <f t="shared" si="27"/>
        <v>132995.21052631579</v>
      </c>
      <c r="L296">
        <f t="shared" si="28"/>
        <v>19.228571428571428</v>
      </c>
      <c r="M296">
        <f t="shared" si="29"/>
        <v>131414.28677563151</v>
      </c>
      <c r="O296" s="15"/>
      <c r="P296" s="15"/>
    </row>
    <row r="297" spans="1:16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 cm="1">
        <f t="array" ref="E297">_xlfn.XLOOKUP(1, (Лист1!$A297=Лист2!$A$2:$A$505)*(Лист1!$B297=Лист2!$B$2:$B$505),Лист2!$C$2:$C$505)</f>
        <v>59</v>
      </c>
      <c r="F297" s="7" cm="1">
        <f t="array" ref="F297">_xlfn.XLOOKUP(1, (Лист1!$A297=Лист2!$A$2:$A$505)*(Лист1!$B297=Лист2!$B$2:$B$505),Лист2!$D$2:$D$505)</f>
        <v>13186</v>
      </c>
      <c r="G297" s="7" cm="1">
        <f t="array" ref="G297">_xlfn.XLOOKUP(1, (Лист1!$A297=Лист2!$A$2:$A$505)*(Лист1!$B297=Лист2!$B$2:$B$505),Лист2!$E$2:$E$505)</f>
        <v>12251</v>
      </c>
      <c r="H297">
        <f t="shared" si="24"/>
        <v>366361.57627118647</v>
      </c>
      <c r="I297">
        <f t="shared" si="25"/>
        <v>18</v>
      </c>
      <c r="J297">
        <f t="shared" si="26"/>
        <v>59</v>
      </c>
      <c r="K297">
        <f t="shared" si="27"/>
        <v>366361.57627118647</v>
      </c>
      <c r="L297">
        <f t="shared" si="28"/>
        <v>59.428571428571431</v>
      </c>
      <c r="M297">
        <f t="shared" si="29"/>
        <v>363719.54567307694</v>
      </c>
      <c r="O297" s="15"/>
      <c r="P297" s="15"/>
    </row>
    <row r="298" spans="1:16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 cm="1">
        <f t="array" ref="E298">_xlfn.XLOOKUP(1, (Лист1!$A298=Лист2!$A$2:$A$505)*(Лист1!$B298=Лист2!$B$2:$B$505),Лист2!$C$2:$C$505)</f>
        <v>59</v>
      </c>
      <c r="F298" s="7" cm="1">
        <f t="array" ref="F298">_xlfn.XLOOKUP(1, (Лист1!$A298=Лист2!$A$2:$A$505)*(Лист1!$B298=Лист2!$B$2:$B$505),Лист2!$D$2:$D$505)</f>
        <v>12943</v>
      </c>
      <c r="G298" s="7" cm="1">
        <f t="array" ref="G298">_xlfn.XLOOKUP(1, (Лист1!$A298=Лист2!$A$2:$A$505)*(Лист1!$B298=Лист2!$B$2:$B$505),Лист2!$E$2:$E$505)</f>
        <v>12072</v>
      </c>
      <c r="H298">
        <f t="shared" si="24"/>
        <v>357879.63559322036</v>
      </c>
      <c r="I298">
        <f t="shared" si="25"/>
        <v>18</v>
      </c>
      <c r="J298">
        <f t="shared" si="26"/>
        <v>59</v>
      </c>
      <c r="K298">
        <f t="shared" si="27"/>
        <v>357879.63559322036</v>
      </c>
      <c r="L298">
        <f t="shared" si="28"/>
        <v>59.428571428571431</v>
      </c>
      <c r="M298">
        <f t="shared" si="29"/>
        <v>355298.77283653844</v>
      </c>
      <c r="O298" s="15"/>
      <c r="P298" s="15"/>
    </row>
    <row r="299" spans="1:16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 cm="1">
        <f t="array" ref="E299">_xlfn.XLOOKUP(1, (Лист1!$A299=Лист2!$A$2:$A$505)*(Лист1!$B299=Лист2!$B$2:$B$505),Лист2!$C$2:$C$505)</f>
        <v>21</v>
      </c>
      <c r="F299" s="7" cm="1">
        <f t="array" ref="F299">_xlfn.XLOOKUP(1, (Лист1!$A299=Лист2!$A$2:$A$505)*(Лист1!$B299=Лист2!$B$2:$B$505),Лист2!$D$2:$D$505)</f>
        <v>2056</v>
      </c>
      <c r="G299" s="7" cm="1">
        <f t="array" ref="G299">_xlfn.XLOOKUP(1, (Лист1!$A299=Лист2!$A$2:$A$505)*(Лист1!$B299=Лист2!$B$2:$B$505),Лист2!$E$2:$E$505)</f>
        <v>1879</v>
      </c>
      <c r="H299">
        <f t="shared" si="24"/>
        <v>133063.07142857142</v>
      </c>
      <c r="I299">
        <f t="shared" si="25"/>
        <v>22</v>
      </c>
      <c r="J299">
        <f t="shared" si="26"/>
        <v>20.142857142857142</v>
      </c>
      <c r="K299">
        <f t="shared" si="27"/>
        <v>138725.32978723405</v>
      </c>
      <c r="L299">
        <f t="shared" si="28"/>
        <v>19.228571428571428</v>
      </c>
      <c r="M299">
        <f t="shared" si="29"/>
        <v>145321.4821693908</v>
      </c>
      <c r="O299" s="15"/>
      <c r="P299" s="15"/>
    </row>
    <row r="300" spans="1:16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 cm="1">
        <f t="array" ref="E300">_xlfn.XLOOKUP(1, (Лист1!$A300=Лист2!$A$2:$A$505)*(Лист1!$B300=Лист2!$B$2:$B$505),Лист2!$C$2:$C$505)</f>
        <v>20</v>
      </c>
      <c r="F300" s="7" cm="1">
        <f t="array" ref="F300">_xlfn.XLOOKUP(1, (Лист1!$A300=Лист2!$A$2:$A$505)*(Лист1!$B300=Лист2!$B$2:$B$505),Лист2!$D$2:$D$505)</f>
        <v>2174</v>
      </c>
      <c r="G300" s="7" cm="1">
        <f t="array" ref="G300">_xlfn.XLOOKUP(1, (Лист1!$A300=Лист2!$A$2:$A$505)*(Лист1!$B300=Лист2!$B$2:$B$505),Лист2!$E$2:$E$505)</f>
        <v>1957</v>
      </c>
      <c r="H300">
        <f t="shared" si="24"/>
        <v>150266.70000000001</v>
      </c>
      <c r="I300">
        <f t="shared" si="25"/>
        <v>22</v>
      </c>
      <c r="J300">
        <f t="shared" si="26"/>
        <v>20.142857142857142</v>
      </c>
      <c r="K300">
        <f t="shared" si="27"/>
        <v>149200.97872340426</v>
      </c>
      <c r="L300">
        <f t="shared" si="28"/>
        <v>19.228571428571428</v>
      </c>
      <c r="M300">
        <f t="shared" si="29"/>
        <v>156295.23031203568</v>
      </c>
      <c r="O300" s="15"/>
      <c r="P300" s="15"/>
    </row>
    <row r="301" spans="1:16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 cm="1">
        <f t="array" ref="E301">_xlfn.XLOOKUP(1, (Лист1!$A301=Лист2!$A$2:$A$505)*(Лист1!$B301=Лист2!$B$2:$B$505),Лист2!$C$2:$C$505)</f>
        <v>20</v>
      </c>
      <c r="F301" s="7" cm="1">
        <f t="array" ref="F301">_xlfn.XLOOKUP(1, (Лист1!$A301=Лист2!$A$2:$A$505)*(Лист1!$B301=Лист2!$B$2:$B$505),Лист2!$D$2:$D$505)</f>
        <v>1875</v>
      </c>
      <c r="G301" s="7" cm="1">
        <f t="array" ref="G301">_xlfn.XLOOKUP(1, (Лист1!$A301=Лист2!$A$2:$A$505)*(Лист1!$B301=Лист2!$B$2:$B$505),Лист2!$E$2:$E$505)</f>
        <v>1701</v>
      </c>
      <c r="H301">
        <f t="shared" si="24"/>
        <v>127960.575</v>
      </c>
      <c r="I301">
        <f t="shared" si="25"/>
        <v>22</v>
      </c>
      <c r="J301">
        <f t="shared" si="26"/>
        <v>20.142857142857142</v>
      </c>
      <c r="K301">
        <f t="shared" si="27"/>
        <v>127053.05319148937</v>
      </c>
      <c r="L301">
        <f t="shared" si="28"/>
        <v>19.228571428571428</v>
      </c>
      <c r="M301">
        <f t="shared" si="29"/>
        <v>133094.20876671621</v>
      </c>
      <c r="O301" s="15"/>
      <c r="P301" s="15"/>
    </row>
    <row r="302" spans="1:16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 cm="1">
        <f t="array" ref="E302">_xlfn.XLOOKUP(1, (Лист1!$A302=Лист2!$A$2:$A$505)*(Лист1!$B302=Лист2!$B$2:$B$505),Лист2!$C$2:$C$505)</f>
        <v>60</v>
      </c>
      <c r="F302" s="7" cm="1">
        <f t="array" ref="F302">_xlfn.XLOOKUP(1, (Лист1!$A302=Лист2!$A$2:$A$505)*(Лист1!$B302=Лист2!$B$2:$B$505),Лист2!$D$2:$D$505)</f>
        <v>14049</v>
      </c>
      <c r="G302" s="7" cm="1">
        <f t="array" ref="G302">_xlfn.XLOOKUP(1, (Лист1!$A302=Лист2!$A$2:$A$505)*(Лист1!$B302=Лист2!$B$2:$B$505),Лист2!$E$2:$E$505)</f>
        <v>13118</v>
      </c>
      <c r="H302">
        <f t="shared" si="24"/>
        <v>394823.05</v>
      </c>
      <c r="I302">
        <f t="shared" si="25"/>
        <v>20</v>
      </c>
      <c r="J302">
        <f t="shared" si="26"/>
        <v>60</v>
      </c>
      <c r="K302">
        <f t="shared" si="27"/>
        <v>394823.05</v>
      </c>
      <c r="L302">
        <f t="shared" si="28"/>
        <v>59.428571428571431</v>
      </c>
      <c r="M302">
        <f t="shared" si="29"/>
        <v>398619.42548076919</v>
      </c>
      <c r="O302" s="15"/>
      <c r="P302" s="15"/>
    </row>
    <row r="303" spans="1:16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 cm="1">
        <f t="array" ref="E303">_xlfn.XLOOKUP(1, (Лист1!$A303=Лист2!$A$2:$A$505)*(Лист1!$B303=Лист2!$B$2:$B$505),Лист2!$C$2:$C$505)</f>
        <v>60</v>
      </c>
      <c r="F303" s="7" cm="1">
        <f t="array" ref="F303">_xlfn.XLOOKUP(1, (Лист1!$A303=Лист2!$A$2:$A$505)*(Лист1!$B303=Лист2!$B$2:$B$505),Лист2!$D$2:$D$505)</f>
        <v>13867</v>
      </c>
      <c r="G303" s="7" cm="1">
        <f t="array" ref="G303">_xlfn.XLOOKUP(1, (Лист1!$A303=Лист2!$A$2:$A$505)*(Лист1!$B303=Лист2!$B$2:$B$505),Лист2!$E$2:$E$505)</f>
        <v>12987</v>
      </c>
      <c r="H303">
        <f t="shared" si="24"/>
        <v>365764.3</v>
      </c>
      <c r="I303">
        <f t="shared" si="25"/>
        <v>21</v>
      </c>
      <c r="J303">
        <f t="shared" si="26"/>
        <v>60</v>
      </c>
      <c r="K303">
        <f t="shared" si="27"/>
        <v>365764.3</v>
      </c>
      <c r="L303">
        <f t="shared" si="28"/>
        <v>59.428571428571431</v>
      </c>
      <c r="M303">
        <f t="shared" si="29"/>
        <v>369281.26442307694</v>
      </c>
      <c r="O303" s="15"/>
      <c r="P303" s="15"/>
    </row>
    <row r="304" spans="1:16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 cm="1">
        <f t="array" ref="E304">_xlfn.XLOOKUP(1, (Лист1!$A304=Лист2!$A$2:$A$505)*(Лист1!$B304=Лист2!$B$2:$B$505),Лист2!$C$2:$C$505)</f>
        <v>60</v>
      </c>
      <c r="F304" s="7" cm="1">
        <f t="array" ref="F304">_xlfn.XLOOKUP(1, (Лист1!$A304=Лист2!$A$2:$A$505)*(Лист1!$B304=Лист2!$B$2:$B$505),Лист2!$D$2:$D$505)</f>
        <v>11698</v>
      </c>
      <c r="G304" s="7" cm="1">
        <f t="array" ref="G304">_xlfn.XLOOKUP(1, (Лист1!$A304=Лист2!$A$2:$A$505)*(Лист1!$B304=Лист2!$B$2:$B$505),Лист2!$E$2:$E$505)</f>
        <v>10989</v>
      </c>
      <c r="H304">
        <f t="shared" si="24"/>
        <v>325773.09999999998</v>
      </c>
      <c r="I304">
        <f t="shared" si="25"/>
        <v>20</v>
      </c>
      <c r="J304">
        <f t="shared" si="26"/>
        <v>60</v>
      </c>
      <c r="K304">
        <f t="shared" si="27"/>
        <v>325773.09999999998</v>
      </c>
      <c r="L304">
        <f t="shared" si="28"/>
        <v>59.428571428571431</v>
      </c>
      <c r="M304">
        <f t="shared" si="29"/>
        <v>328905.53365384613</v>
      </c>
      <c r="O304" s="15"/>
      <c r="P304" s="15"/>
    </row>
    <row r="305" spans="1:16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 cm="1">
        <f t="array" ref="E305">_xlfn.XLOOKUP(1, (Лист1!$A305=Лист2!$A$2:$A$505)*(Лист1!$B305=Лист2!$B$2:$B$505),Лист2!$C$2:$C$505)</f>
        <v>59</v>
      </c>
      <c r="F305" s="7" cm="1">
        <f t="array" ref="F305">_xlfn.XLOOKUP(1, (Лист1!$A305=Лист2!$A$2:$A$505)*(Лист1!$B305=Лист2!$B$2:$B$505),Лист2!$D$2:$D$505)</f>
        <v>12016</v>
      </c>
      <c r="G305" s="7" cm="1">
        <f t="array" ref="G305">_xlfn.XLOOKUP(1, (Лист1!$A305=Лист2!$A$2:$A$505)*(Лист1!$B305=Лист2!$B$2:$B$505),Лист2!$E$2:$E$505)</f>
        <v>11137</v>
      </c>
      <c r="H305">
        <f t="shared" si="24"/>
        <v>325739.51694915252</v>
      </c>
      <c r="I305">
        <f t="shared" si="25"/>
        <v>19</v>
      </c>
      <c r="J305">
        <f t="shared" si="26"/>
        <v>59</v>
      </c>
      <c r="K305">
        <f t="shared" si="27"/>
        <v>325739.51694915252</v>
      </c>
      <c r="L305">
        <f t="shared" si="28"/>
        <v>59.428571428571431</v>
      </c>
      <c r="M305">
        <f t="shared" si="29"/>
        <v>323390.43389423075</v>
      </c>
      <c r="O305" s="15"/>
      <c r="P305" s="15"/>
    </row>
    <row r="306" spans="1:16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 cm="1">
        <f t="array" ref="E306">_xlfn.XLOOKUP(1, (Лист1!$A306=Лист2!$A$2:$A$505)*(Лист1!$B306=Лист2!$B$2:$B$505),Лист2!$C$2:$C$505)</f>
        <v>59</v>
      </c>
      <c r="F306" s="7" cm="1">
        <f t="array" ref="F306">_xlfn.XLOOKUP(1, (Лист1!$A306=Лист2!$A$2:$A$505)*(Лист1!$B306=Лист2!$B$2:$B$505),Лист2!$D$2:$D$505)</f>
        <v>14423</v>
      </c>
      <c r="G306" s="7" cm="1">
        <f t="array" ref="G306">_xlfn.XLOOKUP(1, (Лист1!$A306=Лист2!$A$2:$A$505)*(Лист1!$B306=Лист2!$B$2:$B$505),Лист2!$E$2:$E$505)</f>
        <v>13432</v>
      </c>
      <c r="H306">
        <f t="shared" si="24"/>
        <v>411732.50847457629</v>
      </c>
      <c r="I306">
        <f t="shared" si="25"/>
        <v>19</v>
      </c>
      <c r="J306">
        <f t="shared" si="26"/>
        <v>59</v>
      </c>
      <c r="K306">
        <f t="shared" si="27"/>
        <v>411732.50847457629</v>
      </c>
      <c r="L306">
        <f t="shared" si="28"/>
        <v>59.428571428571431</v>
      </c>
      <c r="M306">
        <f t="shared" si="29"/>
        <v>408763.28365384613</v>
      </c>
      <c r="O306" s="15"/>
      <c r="P306" s="15"/>
    </row>
    <row r="307" spans="1:16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 cm="1">
        <f t="array" ref="E307">_xlfn.XLOOKUP(1, (Лист1!$A307=Лист2!$A$2:$A$505)*(Лист1!$B307=Лист2!$B$2:$B$505),Лист2!$C$2:$C$505)</f>
        <v>54</v>
      </c>
      <c r="F307" s="7" cm="1">
        <f t="array" ref="F307">_xlfn.XLOOKUP(1, (Лист1!$A307=Лист2!$A$2:$A$505)*(Лист1!$B307=Лист2!$B$2:$B$505),Лист2!$D$2:$D$505)</f>
        <v>12747</v>
      </c>
      <c r="G307" s="7" cm="1">
        <f t="array" ref="G307">_xlfn.XLOOKUP(1, (Лист1!$A307=Лист2!$A$2:$A$505)*(Лист1!$B307=Лист2!$B$2:$B$505),Лист2!$E$2:$E$505)</f>
        <v>11884</v>
      </c>
      <c r="H307">
        <f t="shared" si="24"/>
        <v>386507.25</v>
      </c>
      <c r="I307">
        <f t="shared" si="25"/>
        <v>18</v>
      </c>
      <c r="J307">
        <f t="shared" si="26"/>
        <v>54</v>
      </c>
      <c r="K307">
        <f t="shared" si="27"/>
        <v>386507.25</v>
      </c>
      <c r="L307">
        <f t="shared" si="28"/>
        <v>54</v>
      </c>
      <c r="M307">
        <f t="shared" si="29"/>
        <v>386507.25</v>
      </c>
      <c r="O307" s="15"/>
      <c r="P307" s="15"/>
    </row>
    <row r="308" spans="1:16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 cm="1">
        <f t="array" ref="E308">_xlfn.XLOOKUP(1, (Лист1!$A308=Лист2!$A$2:$A$505)*(Лист1!$B308=Лист2!$B$2:$B$505),Лист2!$C$2:$C$505)</f>
        <v>59</v>
      </c>
      <c r="F308" s="7" cm="1">
        <f t="array" ref="F308">_xlfn.XLOOKUP(1, (Лист1!$A308=Лист2!$A$2:$A$505)*(Лист1!$B308=Лист2!$B$2:$B$505),Лист2!$D$2:$D$505)</f>
        <v>12429</v>
      </c>
      <c r="G308" s="7" cm="1">
        <f t="array" ref="G308">_xlfn.XLOOKUP(1, (Лист1!$A308=Лист2!$A$2:$A$505)*(Лист1!$B308=Лист2!$B$2:$B$505),Лист2!$E$2:$E$505)</f>
        <v>11477</v>
      </c>
      <c r="H308">
        <f t="shared" si="24"/>
        <v>332633.28813559323</v>
      </c>
      <c r="I308">
        <f t="shared" si="25"/>
        <v>18</v>
      </c>
      <c r="J308">
        <f t="shared" si="26"/>
        <v>59</v>
      </c>
      <c r="K308">
        <f t="shared" si="27"/>
        <v>332633.28813559323</v>
      </c>
      <c r="L308">
        <f t="shared" si="28"/>
        <v>59.428571428571431</v>
      </c>
      <c r="M308">
        <f t="shared" si="29"/>
        <v>330234.49038461538</v>
      </c>
      <c r="O308" s="15"/>
      <c r="P308" s="15"/>
    </row>
    <row r="309" spans="1:16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 cm="1">
        <f t="array" ref="E309">_xlfn.XLOOKUP(1, (Лист1!$A309=Лист2!$A$2:$A$505)*(Лист1!$B309=Лист2!$B$2:$B$505),Лист2!$C$2:$C$505)</f>
        <v>59</v>
      </c>
      <c r="F309" s="7" cm="1">
        <f t="array" ref="F309">_xlfn.XLOOKUP(1, (Лист1!$A309=Лист2!$A$2:$A$505)*(Лист1!$B309=Лист2!$B$2:$B$505),Лист2!$D$2:$D$505)</f>
        <v>15369</v>
      </c>
      <c r="G309" s="7" cm="1">
        <f t="array" ref="G309">_xlfn.XLOOKUP(1, (Лист1!$A309=Лист2!$A$2:$A$505)*(Лист1!$B309=Лист2!$B$2:$B$505),Лист2!$E$2:$E$505)</f>
        <v>14299</v>
      </c>
      <c r="H309">
        <f t="shared" si="24"/>
        <v>426498.83898305084</v>
      </c>
      <c r="I309">
        <f t="shared" si="25"/>
        <v>22</v>
      </c>
      <c r="J309">
        <f t="shared" si="26"/>
        <v>59.142857142857146</v>
      </c>
      <c r="K309">
        <f t="shared" si="27"/>
        <v>425468.64855072461</v>
      </c>
      <c r="L309">
        <f t="shared" si="28"/>
        <v>59.428571428571431</v>
      </c>
      <c r="M309">
        <f t="shared" si="29"/>
        <v>423423.12620192306</v>
      </c>
      <c r="O309" s="15"/>
      <c r="P309" s="15"/>
    </row>
    <row r="310" spans="1:16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 cm="1">
        <f t="array" ref="E310">_xlfn.XLOOKUP(1, (Лист1!$A310=Лист2!$A$2:$A$505)*(Лист1!$B310=Лист2!$B$2:$B$505),Лист2!$C$2:$C$505)</f>
        <v>59</v>
      </c>
      <c r="F310" s="7" cm="1">
        <f t="array" ref="F310">_xlfn.XLOOKUP(1, (Лист1!$A310=Лист2!$A$2:$A$505)*(Лист1!$B310=Лист2!$B$2:$B$505),Лист2!$D$2:$D$505)</f>
        <v>15222</v>
      </c>
      <c r="G310" s="7" cm="1">
        <f t="array" ref="G310">_xlfn.XLOOKUP(1, (Лист1!$A310=Лист2!$A$2:$A$505)*(Лист1!$B310=Лист2!$B$2:$B$505),Лист2!$E$2:$E$505)</f>
        <v>13873</v>
      </c>
      <c r="H310">
        <f t="shared" si="24"/>
        <v>430734.76271186443</v>
      </c>
      <c r="I310">
        <f t="shared" si="25"/>
        <v>18</v>
      </c>
      <c r="J310">
        <f t="shared" si="26"/>
        <v>59</v>
      </c>
      <c r="K310">
        <f t="shared" si="27"/>
        <v>430734.76271186443</v>
      </c>
      <c r="L310">
        <f t="shared" si="28"/>
        <v>59.428571428571431</v>
      </c>
      <c r="M310">
        <f t="shared" si="29"/>
        <v>427628.50240384613</v>
      </c>
      <c r="O310" s="15"/>
      <c r="P310" s="15"/>
    </row>
    <row r="311" spans="1:16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 cm="1">
        <f t="array" ref="E311">_xlfn.XLOOKUP(1, (Лист1!$A311=Лист2!$A$2:$A$505)*(Лист1!$B311=Лист2!$B$2:$B$505),Лист2!$C$2:$C$505)</f>
        <v>60</v>
      </c>
      <c r="F311" s="7" cm="1">
        <f t="array" ref="F311">_xlfn.XLOOKUP(1, (Лист1!$A311=Лист2!$A$2:$A$505)*(Лист1!$B311=Лист2!$B$2:$B$505),Лист2!$D$2:$D$505)</f>
        <v>12000</v>
      </c>
      <c r="G311" s="7" cm="1">
        <f t="array" ref="G311">_xlfn.XLOOKUP(1, (Лист1!$A311=Лист2!$A$2:$A$505)*(Лист1!$B311=Лист2!$B$2:$B$505),Лист2!$E$2:$E$505)</f>
        <v>11194</v>
      </c>
      <c r="H311">
        <f t="shared" si="24"/>
        <v>320086.32500000001</v>
      </c>
      <c r="I311">
        <f t="shared" si="25"/>
        <v>20</v>
      </c>
      <c r="J311">
        <f t="shared" si="26"/>
        <v>60</v>
      </c>
      <c r="K311">
        <f t="shared" si="27"/>
        <v>320086.32500000001</v>
      </c>
      <c r="L311">
        <f t="shared" si="28"/>
        <v>59.428571428571431</v>
      </c>
      <c r="M311">
        <f t="shared" si="29"/>
        <v>323164.078125</v>
      </c>
      <c r="O311" s="15"/>
      <c r="P311" s="15"/>
    </row>
    <row r="312" spans="1:16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 cm="1">
        <f t="array" ref="E312">_xlfn.XLOOKUP(1, (Лист1!$A312=Лист2!$A$2:$A$505)*(Лист1!$B312=Лист2!$B$2:$B$505),Лист2!$C$2:$C$505)</f>
        <v>60</v>
      </c>
      <c r="F312" s="7" cm="1">
        <f t="array" ref="F312">_xlfn.XLOOKUP(1, (Лист1!$A312=Лист2!$A$2:$A$505)*(Лист1!$B312=Лист2!$B$2:$B$505),Лист2!$D$2:$D$505)</f>
        <v>14005</v>
      </c>
      <c r="G312" s="7" cm="1">
        <f t="array" ref="G312">_xlfn.XLOOKUP(1, (Лист1!$A312=Лист2!$A$2:$A$505)*(Лист1!$B312=Лист2!$B$2:$B$505),Лист2!$E$2:$E$505)</f>
        <v>13002</v>
      </c>
      <c r="H312">
        <f t="shared" si="24"/>
        <v>370888.25</v>
      </c>
      <c r="I312">
        <f t="shared" si="25"/>
        <v>21</v>
      </c>
      <c r="J312">
        <f t="shared" si="26"/>
        <v>60</v>
      </c>
      <c r="K312">
        <f t="shared" si="27"/>
        <v>370888.25</v>
      </c>
      <c r="L312">
        <f t="shared" si="28"/>
        <v>59.428571428571431</v>
      </c>
      <c r="M312">
        <f t="shared" si="29"/>
        <v>374454.48317307694</v>
      </c>
      <c r="O312" s="15"/>
      <c r="P312" s="15"/>
    </row>
    <row r="313" spans="1:16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 cm="1">
        <f t="array" ref="E313">_xlfn.XLOOKUP(1, (Лист1!$A313=Лист2!$A$2:$A$505)*(Лист1!$B313=Лист2!$B$2:$B$505),Лист2!$C$2:$C$505)</f>
        <v>60</v>
      </c>
      <c r="F313" s="7" cm="1">
        <f t="array" ref="F313">_xlfn.XLOOKUP(1, (Лист1!$A313=Лист2!$A$2:$A$505)*(Лист1!$B313=Лист2!$B$2:$B$505),Лист2!$D$2:$D$505)</f>
        <v>13792</v>
      </c>
      <c r="G313" s="7" cm="1">
        <f t="array" ref="G313">_xlfn.XLOOKUP(1, (Лист1!$A313=Лист2!$A$2:$A$505)*(Лист1!$B313=Лист2!$B$2:$B$505),Лист2!$E$2:$E$505)</f>
        <v>12834</v>
      </c>
      <c r="H313">
        <f t="shared" si="24"/>
        <v>365988.1</v>
      </c>
      <c r="I313">
        <f t="shared" si="25"/>
        <v>21</v>
      </c>
      <c r="J313">
        <f t="shared" si="26"/>
        <v>60</v>
      </c>
      <c r="K313">
        <f t="shared" si="27"/>
        <v>365988.1</v>
      </c>
      <c r="L313">
        <f t="shared" si="28"/>
        <v>59.428571428571431</v>
      </c>
      <c r="M313">
        <f t="shared" si="29"/>
        <v>369507.21634615381</v>
      </c>
      <c r="O313" s="15"/>
      <c r="P313" s="15"/>
    </row>
    <row r="314" spans="1:16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 cm="1">
        <f t="array" ref="E314">_xlfn.XLOOKUP(1, (Лист1!$A314=Лист2!$A$2:$A$505)*(Лист1!$B314=Лист2!$B$2:$B$505),Лист2!$C$2:$C$505)</f>
        <v>59</v>
      </c>
      <c r="F314" s="7" cm="1">
        <f t="array" ref="F314">_xlfn.XLOOKUP(1, (Лист1!$A314=Лист2!$A$2:$A$505)*(Лист1!$B314=Лист2!$B$2:$B$505),Лист2!$D$2:$D$505)</f>
        <v>13469</v>
      </c>
      <c r="G314" s="7" cm="1">
        <f t="array" ref="G314">_xlfn.XLOOKUP(1, (Лист1!$A314=Лист2!$A$2:$A$505)*(Лист1!$B314=Лист2!$B$2:$B$505),Лист2!$E$2:$E$505)</f>
        <v>12486</v>
      </c>
      <c r="H314">
        <f t="shared" si="24"/>
        <v>371515.85593220341</v>
      </c>
      <c r="I314">
        <f t="shared" si="25"/>
        <v>19</v>
      </c>
      <c r="J314">
        <f t="shared" si="26"/>
        <v>59</v>
      </c>
      <c r="K314">
        <f t="shared" si="27"/>
        <v>371515.85593220341</v>
      </c>
      <c r="L314">
        <f t="shared" si="28"/>
        <v>59.428571428571431</v>
      </c>
      <c r="M314">
        <f t="shared" si="29"/>
        <v>368836.65504807694</v>
      </c>
      <c r="O314" s="15"/>
      <c r="P314" s="15"/>
    </row>
    <row r="315" spans="1:16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 cm="1">
        <f t="array" ref="E315">_xlfn.XLOOKUP(1, (Лист1!$A315=Лист2!$A$2:$A$505)*(Лист1!$B315=Лист2!$B$2:$B$505),Лист2!$C$2:$C$505)</f>
        <v>54</v>
      </c>
      <c r="F315" s="7" cm="1">
        <f t="array" ref="F315">_xlfn.XLOOKUP(1, (Лист1!$A315=Лист2!$A$2:$A$505)*(Лист1!$B315=Лист2!$B$2:$B$505),Лист2!$D$2:$D$505)</f>
        <v>12306</v>
      </c>
      <c r="G315" s="7" cm="1">
        <f t="array" ref="G315">_xlfn.XLOOKUP(1, (Лист1!$A315=Лист2!$A$2:$A$505)*(Лист1!$B315=Лист2!$B$2:$B$505),Лист2!$E$2:$E$505)</f>
        <v>11532</v>
      </c>
      <c r="H315">
        <f t="shared" si="24"/>
        <v>370430.80555555556</v>
      </c>
      <c r="I315">
        <f t="shared" si="25"/>
        <v>18</v>
      </c>
      <c r="J315">
        <f t="shared" si="26"/>
        <v>54</v>
      </c>
      <c r="K315">
        <f t="shared" si="27"/>
        <v>370430.80555555556</v>
      </c>
      <c r="L315">
        <f t="shared" si="28"/>
        <v>54</v>
      </c>
      <c r="M315">
        <f t="shared" si="29"/>
        <v>370430.80555555556</v>
      </c>
      <c r="O315" s="15"/>
      <c r="P315" s="15"/>
    </row>
    <row r="316" spans="1:16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 cm="1">
        <f t="array" ref="E316">_xlfn.XLOOKUP(1, (Лист1!$A316=Лист2!$A$2:$A$505)*(Лист1!$B316=Лист2!$B$2:$B$505),Лист2!$C$2:$C$505)</f>
        <v>60</v>
      </c>
      <c r="F316" s="7" cm="1">
        <f t="array" ref="F316">_xlfn.XLOOKUP(1, (Лист1!$A316=Лист2!$A$2:$A$505)*(Лист1!$B316=Лист2!$B$2:$B$505),Лист2!$D$2:$D$505)</f>
        <v>12007</v>
      </c>
      <c r="G316" s="7" cm="1">
        <f t="array" ref="G316">_xlfn.XLOOKUP(1, (Лист1!$A316=Лист2!$A$2:$A$505)*(Лист1!$B316=Лист2!$B$2:$B$505),Лист2!$E$2:$E$505)</f>
        <v>11245</v>
      </c>
      <c r="H316">
        <f t="shared" si="24"/>
        <v>323954.55</v>
      </c>
      <c r="I316">
        <f t="shared" si="25"/>
        <v>20</v>
      </c>
      <c r="J316">
        <f t="shared" si="26"/>
        <v>60</v>
      </c>
      <c r="K316">
        <f t="shared" si="27"/>
        <v>323954.55</v>
      </c>
      <c r="L316">
        <f t="shared" si="28"/>
        <v>59.428571428571431</v>
      </c>
      <c r="M316">
        <f t="shared" si="29"/>
        <v>327069.49759615381</v>
      </c>
      <c r="O316" s="15"/>
      <c r="P316" s="15"/>
    </row>
    <row r="317" spans="1:16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 cm="1">
        <f t="array" ref="E317">_xlfn.XLOOKUP(1, (Лист1!$A317=Лист2!$A$2:$A$505)*(Лист1!$B317=Лист2!$B$2:$B$505),Лист2!$C$2:$C$505)</f>
        <v>59</v>
      </c>
      <c r="F317" s="7" cm="1">
        <f t="array" ref="F317">_xlfn.XLOOKUP(1, (Лист1!$A317=Лист2!$A$2:$A$505)*(Лист1!$B317=Лист2!$B$2:$B$505),Лист2!$D$2:$D$505)</f>
        <v>15277</v>
      </c>
      <c r="G317" s="7" cm="1">
        <f t="array" ref="G317">_xlfn.XLOOKUP(1, (Лист1!$A317=Лист2!$A$2:$A$505)*(Лист1!$B317=Лист2!$B$2:$B$505),Лист2!$E$2:$E$505)</f>
        <v>14163</v>
      </c>
      <c r="H317">
        <f t="shared" si="24"/>
        <v>449021.66949152545</v>
      </c>
      <c r="I317">
        <f t="shared" si="25"/>
        <v>18</v>
      </c>
      <c r="J317">
        <f t="shared" si="26"/>
        <v>59</v>
      </c>
      <c r="K317">
        <f t="shared" si="27"/>
        <v>449021.66949152545</v>
      </c>
      <c r="L317">
        <f t="shared" si="28"/>
        <v>59.428571428571431</v>
      </c>
      <c r="M317">
        <f t="shared" si="29"/>
        <v>445783.53245192306</v>
      </c>
      <c r="O317" s="15"/>
      <c r="P317" s="15"/>
    </row>
    <row r="318" spans="1:16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 cm="1">
        <f t="array" ref="E318">_xlfn.XLOOKUP(1, (Лист1!$A318=Лист2!$A$2:$A$505)*(Лист1!$B318=Лист2!$B$2:$B$505),Лист2!$C$2:$C$505)</f>
        <v>59</v>
      </c>
      <c r="F318" s="7" cm="1">
        <f t="array" ref="F318">_xlfn.XLOOKUP(1, (Лист1!$A318=Лист2!$A$2:$A$505)*(Лист1!$B318=Лист2!$B$2:$B$505),Лист2!$D$2:$D$505)</f>
        <v>14103</v>
      </c>
      <c r="G318" s="7" cm="1">
        <f t="array" ref="G318">_xlfn.XLOOKUP(1, (Лист1!$A318=Лист2!$A$2:$A$505)*(Лист1!$B318=Лист2!$B$2:$B$505),Лист2!$E$2:$E$505)</f>
        <v>13118</v>
      </c>
      <c r="H318">
        <f t="shared" si="24"/>
        <v>390389.69491525425</v>
      </c>
      <c r="I318">
        <f t="shared" si="25"/>
        <v>19</v>
      </c>
      <c r="J318">
        <f t="shared" si="26"/>
        <v>59</v>
      </c>
      <c r="K318">
        <f t="shared" si="27"/>
        <v>390389.69491525425</v>
      </c>
      <c r="L318">
        <f t="shared" si="28"/>
        <v>59.428571428571431</v>
      </c>
      <c r="M318">
        <f t="shared" si="29"/>
        <v>387574.38461538462</v>
      </c>
      <c r="O318" s="15"/>
      <c r="P318" s="15"/>
    </row>
    <row r="319" spans="1:16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 cm="1">
        <f t="array" ref="E319">_xlfn.XLOOKUP(1, (Лист1!$A319=Лист2!$A$2:$A$505)*(Лист1!$B319=Лист2!$B$2:$B$505),Лист2!$C$2:$C$505)</f>
        <v>60</v>
      </c>
      <c r="F319" s="7" cm="1">
        <f t="array" ref="F319">_xlfn.XLOOKUP(1, (Лист1!$A319=Лист2!$A$2:$A$505)*(Лист1!$B319=Лист2!$B$2:$B$505),Лист2!$D$2:$D$505)</f>
        <v>17295</v>
      </c>
      <c r="G319" s="7" cm="1">
        <f t="array" ref="G319">_xlfn.XLOOKUP(1, (Лист1!$A319=Лист2!$A$2:$A$505)*(Лист1!$B319=Лист2!$B$2:$B$505),Лист2!$E$2:$E$505)</f>
        <v>16010</v>
      </c>
      <c r="H319">
        <f t="shared" si="24"/>
        <v>476515.17499999999</v>
      </c>
      <c r="I319">
        <f t="shared" si="25"/>
        <v>21</v>
      </c>
      <c r="J319">
        <f t="shared" si="26"/>
        <v>60</v>
      </c>
      <c r="K319">
        <f t="shared" si="27"/>
        <v>476515.17499999999</v>
      </c>
      <c r="L319">
        <f t="shared" si="28"/>
        <v>59.428571428571431</v>
      </c>
      <c r="M319">
        <f t="shared" si="29"/>
        <v>481097.05168269231</v>
      </c>
      <c r="O319" s="15"/>
      <c r="P319" s="15"/>
    </row>
    <row r="320" spans="1:16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 cm="1">
        <f t="array" ref="E320">_xlfn.XLOOKUP(1, (Лист1!$A320=Лист2!$A$2:$A$505)*(Лист1!$B320=Лист2!$B$2:$B$505),Лист2!$C$2:$C$505)</f>
        <v>59</v>
      </c>
      <c r="F320" s="7" cm="1">
        <f t="array" ref="F320">_xlfn.XLOOKUP(1, (Лист1!$A320=Лист2!$A$2:$A$505)*(Лист1!$B320=Лист2!$B$2:$B$505),Лист2!$D$2:$D$505)</f>
        <v>12983</v>
      </c>
      <c r="G320" s="7" cm="1">
        <f t="array" ref="G320">_xlfn.XLOOKUP(1, (Лист1!$A320=Лист2!$A$2:$A$505)*(Лист1!$B320=Лист2!$B$2:$B$505),Лист2!$E$2:$E$505)</f>
        <v>12056</v>
      </c>
      <c r="H320">
        <f t="shared" si="24"/>
        <v>348860.05932203389</v>
      </c>
      <c r="I320">
        <f t="shared" si="25"/>
        <v>22</v>
      </c>
      <c r="J320">
        <f t="shared" si="26"/>
        <v>59.142857142857146</v>
      </c>
      <c r="K320">
        <f t="shared" si="27"/>
        <v>348017.40217391303</v>
      </c>
      <c r="L320">
        <f t="shared" si="28"/>
        <v>59.428571428571431</v>
      </c>
      <c r="M320">
        <f t="shared" si="29"/>
        <v>346344.24158653844</v>
      </c>
      <c r="O320" s="15"/>
      <c r="P320" s="15"/>
    </row>
    <row r="321" spans="1:16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 cm="1">
        <f t="array" ref="E321">_xlfn.XLOOKUP(1, (Лист1!$A321=Лист2!$A$2:$A$505)*(Лист1!$B321=Лист2!$B$2:$B$505),Лист2!$C$2:$C$505)</f>
        <v>59</v>
      </c>
      <c r="F321" s="7" cm="1">
        <f t="array" ref="F321">_xlfn.XLOOKUP(1, (Лист1!$A321=Лист2!$A$2:$A$505)*(Лист1!$B321=Лист2!$B$2:$B$505),Лист2!$D$2:$D$505)</f>
        <v>13251</v>
      </c>
      <c r="G321" s="7" cm="1">
        <f t="array" ref="G321">_xlfn.XLOOKUP(1, (Лист1!$A321=Лист2!$A$2:$A$505)*(Лист1!$B321=Лист2!$B$2:$B$505),Лист2!$E$2:$E$505)</f>
        <v>12255</v>
      </c>
      <c r="H321">
        <f t="shared" si="24"/>
        <v>381864.40677966102</v>
      </c>
      <c r="I321">
        <f t="shared" si="25"/>
        <v>18</v>
      </c>
      <c r="J321">
        <f t="shared" si="26"/>
        <v>59</v>
      </c>
      <c r="K321">
        <f t="shared" si="27"/>
        <v>381864.40677966102</v>
      </c>
      <c r="L321">
        <f t="shared" si="28"/>
        <v>59.428571428571431</v>
      </c>
      <c r="M321">
        <f t="shared" si="29"/>
        <v>379110.57692307694</v>
      </c>
      <c r="O321" s="15"/>
      <c r="P321" s="15"/>
    </row>
    <row r="322" spans="1:16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 cm="1">
        <f t="array" ref="E322">_xlfn.XLOOKUP(1, (Лист1!$A322=Лист2!$A$2:$A$505)*(Лист1!$B322=Лист2!$B$2:$B$505),Лист2!$C$2:$C$505)</f>
        <v>59</v>
      </c>
      <c r="F322" s="7" cm="1">
        <f t="array" ref="F322">_xlfn.XLOOKUP(1, (Лист1!$A322=Лист2!$A$2:$A$505)*(Лист1!$B322=Лист2!$B$2:$B$505),Лист2!$D$2:$D$505)</f>
        <v>14569</v>
      </c>
      <c r="G322" s="7" cm="1">
        <f t="array" ref="G322">_xlfn.XLOOKUP(1, (Лист1!$A322=Лист2!$A$2:$A$505)*(Лист1!$B322=Лист2!$B$2:$B$505),Лист2!$E$2:$E$505)</f>
        <v>13566</v>
      </c>
      <c r="H322">
        <f t="shared" si="24"/>
        <v>421871.26271186443</v>
      </c>
      <c r="I322">
        <f t="shared" si="25"/>
        <v>19</v>
      </c>
      <c r="J322">
        <f t="shared" si="26"/>
        <v>59</v>
      </c>
      <c r="K322">
        <f t="shared" si="27"/>
        <v>421871.26271186443</v>
      </c>
      <c r="L322">
        <f t="shared" si="28"/>
        <v>59.428571428571431</v>
      </c>
      <c r="M322">
        <f t="shared" si="29"/>
        <v>418828.921875</v>
      </c>
      <c r="O322" s="15"/>
      <c r="P322" s="15"/>
    </row>
    <row r="323" spans="1:16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 cm="1">
        <f t="array" ref="E323">_xlfn.XLOOKUP(1, (Лист1!$A323=Лист2!$A$2:$A$505)*(Лист1!$B323=Лист2!$B$2:$B$505),Лист2!$C$2:$C$505)</f>
        <v>59</v>
      </c>
      <c r="F323" s="7" cm="1">
        <f t="array" ref="F323">_xlfn.XLOOKUP(1, (Лист1!$A323=Лист2!$A$2:$A$505)*(Лист1!$B323=Лист2!$B$2:$B$505),Лист2!$D$2:$D$505)</f>
        <v>14098</v>
      </c>
      <c r="G323" s="7" cm="1">
        <f t="array" ref="G323">_xlfn.XLOOKUP(1, (Лист1!$A323=Лист2!$A$2:$A$505)*(Лист1!$B323=Лист2!$B$2:$B$505),Лист2!$E$2:$E$505)</f>
        <v>13106</v>
      </c>
      <c r="H323">
        <f t="shared" ref="H323:H386" si="30">$D323/$E323</f>
        <v>404778.78813559323</v>
      </c>
      <c r="I323">
        <f t="shared" ref="I323:I386" si="31">WEEKNUM($A323,2)</f>
        <v>19</v>
      </c>
      <c r="J323">
        <f t="shared" ref="J323:J386" si="32">AVERAGEIFS($E$2:$E$505,$I$2:$I$505,$I323,$B$2:$B$505,$B323)</f>
        <v>59</v>
      </c>
      <c r="K323">
        <f t="shared" ref="K323:K386" si="33">$D323/$J323</f>
        <v>404778.78813559323</v>
      </c>
      <c r="L323">
        <f t="shared" ref="L323:L386" si="34">AVERAGEIFS($E$2:$E$505,$B$2:$B$505,$B323)</f>
        <v>59.428571428571431</v>
      </c>
      <c r="M323">
        <f t="shared" ref="M323:M386" si="35">$D323/$L323</f>
        <v>401859.71033653844</v>
      </c>
      <c r="O323" s="15"/>
      <c r="P323" s="15"/>
    </row>
    <row r="324" spans="1:16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 cm="1">
        <f t="array" ref="E324">_xlfn.XLOOKUP(1, (Лист1!$A324=Лист2!$A$2:$A$505)*(Лист1!$B324=Лист2!$B$2:$B$505),Лист2!$C$2:$C$505)</f>
        <v>59</v>
      </c>
      <c r="F324" s="7" cm="1">
        <f t="array" ref="F324">_xlfn.XLOOKUP(1, (Лист1!$A324=Лист2!$A$2:$A$505)*(Лист1!$B324=Лист2!$B$2:$B$505),Лист2!$D$2:$D$505)</f>
        <v>13495</v>
      </c>
      <c r="G324" s="7" cm="1">
        <f t="array" ref="G324">_xlfn.XLOOKUP(1, (Лист1!$A324=Лист2!$A$2:$A$505)*(Лист1!$B324=Лист2!$B$2:$B$505),Лист2!$E$2:$E$505)</f>
        <v>12517</v>
      </c>
      <c r="H324">
        <f t="shared" si="30"/>
        <v>380680.16949152545</v>
      </c>
      <c r="I324">
        <f t="shared" si="31"/>
        <v>19</v>
      </c>
      <c r="J324">
        <f t="shared" si="32"/>
        <v>59</v>
      </c>
      <c r="K324">
        <f t="shared" si="33"/>
        <v>380680.16949152545</v>
      </c>
      <c r="L324">
        <f t="shared" si="34"/>
        <v>59.428571428571431</v>
      </c>
      <c r="M324">
        <f t="shared" si="35"/>
        <v>377934.87980769231</v>
      </c>
      <c r="O324" s="15"/>
      <c r="P324" s="15"/>
    </row>
    <row r="325" spans="1:16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 cm="1">
        <f t="array" ref="E325">_xlfn.XLOOKUP(1, (Лист1!$A325=Лист2!$A$2:$A$505)*(Лист1!$B325=Лист2!$B$2:$B$505),Лист2!$C$2:$C$505)</f>
        <v>60</v>
      </c>
      <c r="F325" s="7" cm="1">
        <f t="array" ref="F325">_xlfn.XLOOKUP(1, (Лист1!$A325=Лист2!$A$2:$A$505)*(Лист1!$B325=Лист2!$B$2:$B$505),Лист2!$D$2:$D$505)</f>
        <v>12822</v>
      </c>
      <c r="G325" s="7" cm="1">
        <f t="array" ref="G325">_xlfn.XLOOKUP(1, (Лист1!$A325=Лист2!$A$2:$A$505)*(Лист1!$B325=Лист2!$B$2:$B$505),Лист2!$E$2:$E$505)</f>
        <v>11916</v>
      </c>
      <c r="H325">
        <f t="shared" si="30"/>
        <v>332663.34999999998</v>
      </c>
      <c r="I325">
        <f t="shared" si="31"/>
        <v>21</v>
      </c>
      <c r="J325">
        <f t="shared" si="32"/>
        <v>60</v>
      </c>
      <c r="K325">
        <f t="shared" si="33"/>
        <v>332663.34999999998</v>
      </c>
      <c r="L325">
        <f t="shared" si="34"/>
        <v>59.428571428571431</v>
      </c>
      <c r="M325">
        <f t="shared" si="35"/>
        <v>335862.03605769231</v>
      </c>
      <c r="O325" s="15"/>
      <c r="P325" s="15"/>
    </row>
    <row r="326" spans="1:16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 cm="1">
        <f t="array" ref="E326">_xlfn.XLOOKUP(1, (Лист1!$A326=Лист2!$A$2:$A$505)*(Лист1!$B326=Лист2!$B$2:$B$505),Лист2!$C$2:$C$505)</f>
        <v>54</v>
      </c>
      <c r="F326" s="7" cm="1">
        <f t="array" ref="F326">_xlfn.XLOOKUP(1, (Лист1!$A326=Лист2!$A$2:$A$505)*(Лист1!$B326=Лист2!$B$2:$B$505),Лист2!$D$2:$D$505)</f>
        <v>13170</v>
      </c>
      <c r="G326" s="7" cm="1">
        <f t="array" ref="G326">_xlfn.XLOOKUP(1, (Лист1!$A326=Лист2!$A$2:$A$505)*(Лист1!$B326=Лист2!$B$2:$B$505),Лист2!$E$2:$E$505)</f>
        <v>12299</v>
      </c>
      <c r="H326">
        <f t="shared" si="30"/>
        <v>413987.75</v>
      </c>
      <c r="I326">
        <f t="shared" si="31"/>
        <v>20</v>
      </c>
      <c r="J326">
        <f t="shared" si="32"/>
        <v>54</v>
      </c>
      <c r="K326">
        <f t="shared" si="33"/>
        <v>413987.75</v>
      </c>
      <c r="L326">
        <f t="shared" si="34"/>
        <v>54</v>
      </c>
      <c r="M326">
        <f t="shared" si="35"/>
        <v>413987.75</v>
      </c>
      <c r="O326" s="15"/>
      <c r="P326" s="15"/>
    </row>
    <row r="327" spans="1:16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 cm="1">
        <f t="array" ref="E327">_xlfn.XLOOKUP(1, (Лист1!$A327=Лист2!$A$2:$A$505)*(Лист1!$B327=Лист2!$B$2:$B$505),Лист2!$C$2:$C$505)</f>
        <v>54</v>
      </c>
      <c r="F327" s="7" cm="1">
        <f t="array" ref="F327">_xlfn.XLOOKUP(1, (Лист1!$A327=Лист2!$A$2:$A$505)*(Лист1!$B327=Лист2!$B$2:$B$505),Лист2!$D$2:$D$505)</f>
        <v>13070</v>
      </c>
      <c r="G327" s="7" cm="1">
        <f t="array" ref="G327">_xlfn.XLOOKUP(1, (Лист1!$A327=Лист2!$A$2:$A$505)*(Лист1!$B327=Лист2!$B$2:$B$505),Лист2!$E$2:$E$505)</f>
        <v>12244</v>
      </c>
      <c r="H327">
        <f t="shared" si="30"/>
        <v>381297.63888888888</v>
      </c>
      <c r="I327">
        <f t="shared" si="31"/>
        <v>21</v>
      </c>
      <c r="J327">
        <f t="shared" si="32"/>
        <v>54</v>
      </c>
      <c r="K327">
        <f t="shared" si="33"/>
        <v>381297.63888888888</v>
      </c>
      <c r="L327">
        <f t="shared" si="34"/>
        <v>54</v>
      </c>
      <c r="M327">
        <f t="shared" si="35"/>
        <v>381297.63888888888</v>
      </c>
      <c r="O327" s="15"/>
      <c r="P327" s="15"/>
    </row>
    <row r="328" spans="1:16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 cm="1">
        <f t="array" ref="E328">_xlfn.XLOOKUP(1, (Лист1!$A328=Лист2!$A$2:$A$505)*(Лист1!$B328=Лист2!$B$2:$B$505),Лист2!$C$2:$C$505)</f>
        <v>54</v>
      </c>
      <c r="F328" s="7" cm="1">
        <f t="array" ref="F328">_xlfn.XLOOKUP(1, (Лист1!$A328=Лист2!$A$2:$A$505)*(Лист1!$B328=Лист2!$B$2:$B$505),Лист2!$D$2:$D$505)</f>
        <v>11128</v>
      </c>
      <c r="G328" s="7" cm="1">
        <f t="array" ref="G328">_xlfn.XLOOKUP(1, (Лист1!$A328=Лист2!$A$2:$A$505)*(Лист1!$B328=Лист2!$B$2:$B$505),Лист2!$E$2:$E$505)</f>
        <v>10467</v>
      </c>
      <c r="H328">
        <f t="shared" si="30"/>
        <v>341649.83333333331</v>
      </c>
      <c r="I328">
        <f t="shared" si="31"/>
        <v>20</v>
      </c>
      <c r="J328">
        <f t="shared" si="32"/>
        <v>54</v>
      </c>
      <c r="K328">
        <f t="shared" si="33"/>
        <v>341649.83333333331</v>
      </c>
      <c r="L328">
        <f t="shared" si="34"/>
        <v>54</v>
      </c>
      <c r="M328">
        <f t="shared" si="35"/>
        <v>341649.83333333331</v>
      </c>
      <c r="O328" s="15"/>
      <c r="P328" s="15"/>
    </row>
    <row r="329" spans="1:16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 cm="1">
        <f t="array" ref="E329">_xlfn.XLOOKUP(1, (Лист1!$A329=Лист2!$A$2:$A$505)*(Лист1!$B329=Лист2!$B$2:$B$505),Лист2!$C$2:$C$505)</f>
        <v>54</v>
      </c>
      <c r="F329" s="7" cm="1">
        <f t="array" ref="F329">_xlfn.XLOOKUP(1, (Лист1!$A329=Лист2!$A$2:$A$505)*(Лист1!$B329=Лист2!$B$2:$B$505),Лист2!$D$2:$D$505)</f>
        <v>11288</v>
      </c>
      <c r="G329" s="7" cm="1">
        <f t="array" ref="G329">_xlfn.XLOOKUP(1, (Лист1!$A329=Лист2!$A$2:$A$505)*(Лист1!$B329=Лист2!$B$2:$B$505),Лист2!$E$2:$E$505)</f>
        <v>10492</v>
      </c>
      <c r="H329">
        <f t="shared" si="30"/>
        <v>334922.19444444444</v>
      </c>
      <c r="I329">
        <f t="shared" si="31"/>
        <v>19</v>
      </c>
      <c r="J329">
        <f t="shared" si="32"/>
        <v>54</v>
      </c>
      <c r="K329">
        <f t="shared" si="33"/>
        <v>334922.19444444444</v>
      </c>
      <c r="L329">
        <f t="shared" si="34"/>
        <v>54</v>
      </c>
      <c r="M329">
        <f t="shared" si="35"/>
        <v>334922.19444444444</v>
      </c>
      <c r="O329" s="15"/>
      <c r="P329" s="15"/>
    </row>
    <row r="330" spans="1:16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 cm="1">
        <f t="array" ref="E330">_xlfn.XLOOKUP(1, (Лист1!$A330=Лист2!$A$2:$A$505)*(Лист1!$B330=Лист2!$B$2:$B$505),Лист2!$C$2:$C$505)</f>
        <v>54</v>
      </c>
      <c r="F330" s="7" cm="1">
        <f t="array" ref="F330">_xlfn.XLOOKUP(1, (Лист1!$A330=Лист2!$A$2:$A$505)*(Лист1!$B330=Лист2!$B$2:$B$505),Лист2!$D$2:$D$505)</f>
        <v>13606</v>
      </c>
      <c r="G330" s="7" cm="1">
        <f t="array" ref="G330">_xlfn.XLOOKUP(1, (Лист1!$A330=Лист2!$A$2:$A$505)*(Лист1!$B330=Лист2!$B$2:$B$505),Лист2!$E$2:$E$505)</f>
        <v>12697</v>
      </c>
      <c r="H330">
        <f t="shared" si="30"/>
        <v>422163.47222222225</v>
      </c>
      <c r="I330">
        <f t="shared" si="31"/>
        <v>19</v>
      </c>
      <c r="J330">
        <f t="shared" si="32"/>
        <v>54</v>
      </c>
      <c r="K330">
        <f t="shared" si="33"/>
        <v>422163.47222222225</v>
      </c>
      <c r="L330">
        <f t="shared" si="34"/>
        <v>54</v>
      </c>
      <c r="M330">
        <f t="shared" si="35"/>
        <v>422163.47222222225</v>
      </c>
      <c r="O330" s="15"/>
      <c r="P330" s="15"/>
    </row>
    <row r="331" spans="1:16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 cm="1">
        <f t="array" ref="E331">_xlfn.XLOOKUP(1, (Лист1!$A331=Лист2!$A$2:$A$505)*(Лист1!$B331=Лист2!$B$2:$B$505),Лист2!$C$2:$C$505)</f>
        <v>54</v>
      </c>
      <c r="F331" s="7" cm="1">
        <f t="array" ref="F331">_xlfn.XLOOKUP(1, (Лист1!$A331=Лист2!$A$2:$A$505)*(Лист1!$B331=Лист2!$B$2:$B$505),Лист2!$D$2:$D$505)</f>
        <v>11622</v>
      </c>
      <c r="G331" s="7" cm="1">
        <f t="array" ref="G331">_xlfn.XLOOKUP(1, (Лист1!$A331=Лист2!$A$2:$A$505)*(Лист1!$B331=Лист2!$B$2:$B$505),Лист2!$E$2:$E$505)</f>
        <v>10754</v>
      </c>
      <c r="H331">
        <f t="shared" si="30"/>
        <v>344924.47222222225</v>
      </c>
      <c r="I331">
        <f t="shared" si="31"/>
        <v>18</v>
      </c>
      <c r="J331">
        <f t="shared" si="32"/>
        <v>54</v>
      </c>
      <c r="K331">
        <f t="shared" si="33"/>
        <v>344924.47222222225</v>
      </c>
      <c r="L331">
        <f t="shared" si="34"/>
        <v>54</v>
      </c>
      <c r="M331">
        <f t="shared" si="35"/>
        <v>344924.47222222225</v>
      </c>
      <c r="O331" s="15"/>
      <c r="P331" s="15"/>
    </row>
    <row r="332" spans="1:16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 cm="1">
        <f t="array" ref="E332">_xlfn.XLOOKUP(1, (Лист1!$A332=Лист2!$A$2:$A$505)*(Лист1!$B332=Лист2!$B$2:$B$505),Лист2!$C$2:$C$505)</f>
        <v>54</v>
      </c>
      <c r="F332" s="7" cm="1">
        <f t="array" ref="F332">_xlfn.XLOOKUP(1, (Лист1!$A332=Лист2!$A$2:$A$505)*(Лист1!$B332=Лист2!$B$2:$B$505),Лист2!$D$2:$D$505)</f>
        <v>14482</v>
      </c>
      <c r="G332" s="7" cm="1">
        <f t="array" ref="G332">_xlfn.XLOOKUP(1, (Лист1!$A332=Лист2!$A$2:$A$505)*(Лист1!$B332=Лист2!$B$2:$B$505),Лист2!$E$2:$E$505)</f>
        <v>13510</v>
      </c>
      <c r="H332">
        <f t="shared" si="30"/>
        <v>441784.16666666669</v>
      </c>
      <c r="I332">
        <f t="shared" si="31"/>
        <v>22</v>
      </c>
      <c r="J332">
        <f t="shared" si="32"/>
        <v>54</v>
      </c>
      <c r="K332">
        <f t="shared" si="33"/>
        <v>441784.16666666669</v>
      </c>
      <c r="L332">
        <f t="shared" si="34"/>
        <v>54</v>
      </c>
      <c r="M332">
        <f t="shared" si="35"/>
        <v>441784.16666666669</v>
      </c>
      <c r="O332" s="15"/>
      <c r="P332" s="15"/>
    </row>
    <row r="333" spans="1:16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 cm="1">
        <f t="array" ref="E333">_xlfn.XLOOKUP(1, (Лист1!$A333=Лист2!$A$2:$A$505)*(Лист1!$B333=Лист2!$B$2:$B$505),Лист2!$C$2:$C$505)</f>
        <v>54</v>
      </c>
      <c r="F333" s="7" cm="1">
        <f t="array" ref="F333">_xlfn.XLOOKUP(1, (Лист1!$A333=Лист2!$A$2:$A$505)*(Лист1!$B333=Лист2!$B$2:$B$505),Лист2!$D$2:$D$505)</f>
        <v>14205</v>
      </c>
      <c r="G333" s="7" cm="1">
        <f t="array" ref="G333">_xlfn.XLOOKUP(1, (Лист1!$A333=Лист2!$A$2:$A$505)*(Лист1!$B333=Лист2!$B$2:$B$505),Лист2!$E$2:$E$505)</f>
        <v>13026</v>
      </c>
      <c r="H333">
        <f t="shared" si="30"/>
        <v>443584</v>
      </c>
      <c r="I333">
        <f t="shared" si="31"/>
        <v>18</v>
      </c>
      <c r="J333">
        <f t="shared" si="32"/>
        <v>54</v>
      </c>
      <c r="K333">
        <f t="shared" si="33"/>
        <v>443584</v>
      </c>
      <c r="L333">
        <f t="shared" si="34"/>
        <v>54</v>
      </c>
      <c r="M333">
        <f t="shared" si="35"/>
        <v>443584</v>
      </c>
      <c r="O333" s="15"/>
      <c r="P333" s="15"/>
    </row>
    <row r="334" spans="1:16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 cm="1">
        <f t="array" ref="E334">_xlfn.XLOOKUP(1, (Лист1!$A334=Лист2!$A$2:$A$505)*(Лист1!$B334=Лист2!$B$2:$B$505),Лист2!$C$2:$C$505)</f>
        <v>54</v>
      </c>
      <c r="F334" s="7" cm="1">
        <f t="array" ref="F334">_xlfn.XLOOKUP(1, (Лист1!$A334=Лист2!$A$2:$A$505)*(Лист1!$B334=Лист2!$B$2:$B$505),Лист2!$D$2:$D$505)</f>
        <v>11614</v>
      </c>
      <c r="G334" s="7" cm="1">
        <f t="array" ref="G334">_xlfn.XLOOKUP(1, (Лист1!$A334=Лист2!$A$2:$A$505)*(Лист1!$B334=Лист2!$B$2:$B$505),Лист2!$E$2:$E$505)</f>
        <v>10862</v>
      </c>
      <c r="H334">
        <f t="shared" si="30"/>
        <v>346630.30555555556</v>
      </c>
      <c r="I334">
        <f t="shared" si="31"/>
        <v>20</v>
      </c>
      <c r="J334">
        <f t="shared" si="32"/>
        <v>54</v>
      </c>
      <c r="K334">
        <f t="shared" si="33"/>
        <v>346630.30555555556</v>
      </c>
      <c r="L334">
        <f t="shared" si="34"/>
        <v>54</v>
      </c>
      <c r="M334">
        <f t="shared" si="35"/>
        <v>346630.30555555556</v>
      </c>
      <c r="O334" s="15"/>
      <c r="P334" s="15"/>
    </row>
    <row r="335" spans="1:16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 cm="1">
        <f t="array" ref="E335">_xlfn.XLOOKUP(1, (Лист1!$A335=Лист2!$A$2:$A$505)*(Лист1!$B335=Лист2!$B$2:$B$505),Лист2!$C$2:$C$505)</f>
        <v>54</v>
      </c>
      <c r="F335" s="7" cm="1">
        <f t="array" ref="F335">_xlfn.XLOOKUP(1, (Лист1!$A335=Лист2!$A$2:$A$505)*(Лист1!$B335=Лист2!$B$2:$B$505),Лист2!$D$2:$D$505)</f>
        <v>13240</v>
      </c>
      <c r="G335" s="7" cm="1">
        <f t="array" ref="G335">_xlfn.XLOOKUP(1, (Лист1!$A335=Лист2!$A$2:$A$505)*(Лист1!$B335=Лист2!$B$2:$B$505),Лист2!$E$2:$E$505)</f>
        <v>12360</v>
      </c>
      <c r="H335">
        <f t="shared" si="30"/>
        <v>389679.13888888888</v>
      </c>
      <c r="I335">
        <f t="shared" si="31"/>
        <v>21</v>
      </c>
      <c r="J335">
        <f t="shared" si="32"/>
        <v>54</v>
      </c>
      <c r="K335">
        <f t="shared" si="33"/>
        <v>389679.13888888888</v>
      </c>
      <c r="L335">
        <f t="shared" si="34"/>
        <v>54</v>
      </c>
      <c r="M335">
        <f t="shared" si="35"/>
        <v>389679.13888888888</v>
      </c>
      <c r="O335" s="15"/>
      <c r="P335" s="15"/>
    </row>
    <row r="336" spans="1:16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 cm="1">
        <f t="array" ref="E336">_xlfn.XLOOKUP(1, (Лист1!$A336=Лист2!$A$2:$A$505)*(Лист1!$B336=Лист2!$B$2:$B$505),Лист2!$C$2:$C$505)</f>
        <v>54</v>
      </c>
      <c r="F336" s="7" cm="1">
        <f t="array" ref="F336">_xlfn.XLOOKUP(1, (Лист1!$A336=Лист2!$A$2:$A$505)*(Лист1!$B336=Лист2!$B$2:$B$505),Лист2!$D$2:$D$505)</f>
        <v>13298</v>
      </c>
      <c r="G336" s="7" cm="1">
        <f t="array" ref="G336">_xlfn.XLOOKUP(1, (Лист1!$A336=Лист2!$A$2:$A$505)*(Лист1!$B336=Лист2!$B$2:$B$505),Лист2!$E$2:$E$505)</f>
        <v>12428</v>
      </c>
      <c r="H336">
        <f t="shared" si="30"/>
        <v>396506.47222222225</v>
      </c>
      <c r="I336">
        <f t="shared" si="31"/>
        <v>21</v>
      </c>
      <c r="J336">
        <f t="shared" si="32"/>
        <v>54</v>
      </c>
      <c r="K336">
        <f t="shared" si="33"/>
        <v>396506.47222222225</v>
      </c>
      <c r="L336">
        <f t="shared" si="34"/>
        <v>54</v>
      </c>
      <c r="M336">
        <f t="shared" si="35"/>
        <v>396506.47222222225</v>
      </c>
      <c r="O336" s="15"/>
      <c r="P336" s="15"/>
    </row>
    <row r="337" spans="1:16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 cm="1">
        <f t="array" ref="E337">_xlfn.XLOOKUP(1, (Лист1!$A337=Лист2!$A$2:$A$505)*(Лист1!$B337=Лист2!$B$2:$B$505),Лист2!$C$2:$C$505)</f>
        <v>54</v>
      </c>
      <c r="F337" s="7" cm="1">
        <f t="array" ref="F337">_xlfn.XLOOKUP(1, (Лист1!$A337=Лист2!$A$2:$A$505)*(Лист1!$B337=Лист2!$B$2:$B$505),Лист2!$D$2:$D$505)</f>
        <v>12775</v>
      </c>
      <c r="G337" s="7" cm="1">
        <f t="array" ref="G337">_xlfn.XLOOKUP(1, (Лист1!$A337=Лист2!$A$2:$A$505)*(Лист1!$B337=Лист2!$B$2:$B$505),Лист2!$E$2:$E$505)</f>
        <v>11887</v>
      </c>
      <c r="H337">
        <f t="shared" si="30"/>
        <v>386669.30555555556</v>
      </c>
      <c r="I337">
        <f t="shared" si="31"/>
        <v>19</v>
      </c>
      <c r="J337">
        <f t="shared" si="32"/>
        <v>54</v>
      </c>
      <c r="K337">
        <f t="shared" si="33"/>
        <v>386669.30555555556</v>
      </c>
      <c r="L337">
        <f t="shared" si="34"/>
        <v>54</v>
      </c>
      <c r="M337">
        <f t="shared" si="35"/>
        <v>386669.30555555556</v>
      </c>
      <c r="O337" s="15"/>
      <c r="P337" s="15"/>
    </row>
    <row r="338" spans="1:16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 cm="1">
        <f t="array" ref="E338">_xlfn.XLOOKUP(1, (Лист1!$A338=Лист2!$A$2:$A$505)*(Лист1!$B338=Лист2!$B$2:$B$505),Лист2!$C$2:$C$505)</f>
        <v>54</v>
      </c>
      <c r="F338" s="7" cm="1">
        <f t="array" ref="F338">_xlfn.XLOOKUP(1, (Лист1!$A338=Лист2!$A$2:$A$505)*(Лист1!$B338=Лист2!$B$2:$B$505),Лист2!$D$2:$D$505)</f>
        <v>11522</v>
      </c>
      <c r="G338" s="7" cm="1">
        <f t="array" ref="G338">_xlfn.XLOOKUP(1, (Лист1!$A338=Лист2!$A$2:$A$505)*(Лист1!$B338=Лист2!$B$2:$B$505),Лист2!$E$2:$E$505)</f>
        <v>10803</v>
      </c>
      <c r="H338">
        <f t="shared" si="30"/>
        <v>347851.86111111112</v>
      </c>
      <c r="I338">
        <f t="shared" si="31"/>
        <v>20</v>
      </c>
      <c r="J338">
        <f t="shared" si="32"/>
        <v>54</v>
      </c>
      <c r="K338">
        <f t="shared" si="33"/>
        <v>347851.86111111112</v>
      </c>
      <c r="L338">
        <f t="shared" si="34"/>
        <v>54</v>
      </c>
      <c r="M338">
        <f t="shared" si="35"/>
        <v>347851.86111111112</v>
      </c>
      <c r="O338" s="15"/>
      <c r="P338" s="15"/>
    </row>
    <row r="339" spans="1:16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 cm="1">
        <f t="array" ref="E339">_xlfn.XLOOKUP(1, (Лист1!$A339=Лист2!$A$2:$A$505)*(Лист1!$B339=Лист2!$B$2:$B$505),Лист2!$C$2:$C$505)</f>
        <v>59</v>
      </c>
      <c r="F339" s="7" cm="1">
        <f t="array" ref="F339">_xlfn.XLOOKUP(1, (Лист1!$A339=Лист2!$A$2:$A$505)*(Лист1!$B339=Лист2!$B$2:$B$505),Лист2!$D$2:$D$505)</f>
        <v>13684</v>
      </c>
      <c r="G339" s="7" cm="1">
        <f t="array" ref="G339">_xlfn.XLOOKUP(1, (Лист1!$A339=Лист2!$A$2:$A$505)*(Лист1!$B339=Лист2!$B$2:$B$505),Лист2!$E$2:$E$505)</f>
        <v>12690</v>
      </c>
      <c r="H339">
        <f t="shared" si="30"/>
        <v>365852.82203389832</v>
      </c>
      <c r="I339">
        <f t="shared" si="31"/>
        <v>22</v>
      </c>
      <c r="J339">
        <f t="shared" si="32"/>
        <v>59.142857142857146</v>
      </c>
      <c r="K339">
        <f t="shared" si="33"/>
        <v>364969.11956521735</v>
      </c>
      <c r="L339">
        <f t="shared" si="34"/>
        <v>59.428571428571431</v>
      </c>
      <c r="M339">
        <f t="shared" si="35"/>
        <v>363214.46033653844</v>
      </c>
      <c r="O339" s="15"/>
      <c r="P339" s="15"/>
    </row>
    <row r="340" spans="1:16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 cm="1">
        <f t="array" ref="E340">_xlfn.XLOOKUP(1, (Лист1!$A340=Лист2!$A$2:$A$505)*(Лист1!$B340=Лист2!$B$2:$B$505),Лист2!$C$2:$C$505)</f>
        <v>54</v>
      </c>
      <c r="F340" s="7" cm="1">
        <f t="array" ref="F340">_xlfn.XLOOKUP(1, (Лист1!$A340=Лист2!$A$2:$A$505)*(Лист1!$B340=Лист2!$B$2:$B$505),Лист2!$D$2:$D$505)</f>
        <v>14823</v>
      </c>
      <c r="G340" s="7" cm="1">
        <f t="array" ref="G340">_xlfn.XLOOKUP(1, (Лист1!$A340=Лист2!$A$2:$A$505)*(Лист1!$B340=Лист2!$B$2:$B$505),Лист2!$E$2:$E$505)</f>
        <v>13751</v>
      </c>
      <c r="H340">
        <f t="shared" si="30"/>
        <v>472575.41666666669</v>
      </c>
      <c r="I340">
        <f t="shared" si="31"/>
        <v>18</v>
      </c>
      <c r="J340">
        <f t="shared" si="32"/>
        <v>54</v>
      </c>
      <c r="K340">
        <f t="shared" si="33"/>
        <v>472575.41666666669</v>
      </c>
      <c r="L340">
        <f t="shared" si="34"/>
        <v>54</v>
      </c>
      <c r="M340">
        <f t="shared" si="35"/>
        <v>472575.41666666669</v>
      </c>
      <c r="O340" s="15"/>
      <c r="P340" s="15"/>
    </row>
    <row r="341" spans="1:16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 cm="1">
        <f t="array" ref="E341">_xlfn.XLOOKUP(1, (Лист1!$A341=Лист2!$A$2:$A$505)*(Лист1!$B341=Лист2!$B$2:$B$505),Лист2!$C$2:$C$505)</f>
        <v>59</v>
      </c>
      <c r="F341" s="7" cm="1">
        <f t="array" ref="F341">_xlfn.XLOOKUP(1, (Лист1!$A341=Лист2!$A$2:$A$505)*(Лист1!$B341=Лист2!$B$2:$B$505),Лист2!$D$2:$D$505)</f>
        <v>15030</v>
      </c>
      <c r="G341" s="7" cm="1">
        <f t="array" ref="G341">_xlfn.XLOOKUP(1, (Лист1!$A341=Лист2!$A$2:$A$505)*(Лист1!$B341=Лист2!$B$2:$B$505),Лист2!$E$2:$E$505)</f>
        <v>13956</v>
      </c>
      <c r="H341">
        <f t="shared" si="30"/>
        <v>415716.0254237288</v>
      </c>
      <c r="I341">
        <f t="shared" si="31"/>
        <v>22</v>
      </c>
      <c r="J341">
        <f t="shared" si="32"/>
        <v>59.142857142857146</v>
      </c>
      <c r="K341">
        <f t="shared" si="33"/>
        <v>414711.88043478259</v>
      </c>
      <c r="L341">
        <f t="shared" si="34"/>
        <v>59.428571428571431</v>
      </c>
      <c r="M341">
        <f t="shared" si="35"/>
        <v>412718.07331730769</v>
      </c>
      <c r="O341" s="15"/>
      <c r="P341" s="15"/>
    </row>
    <row r="342" spans="1:16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 cm="1">
        <f t="array" ref="E342">_xlfn.XLOOKUP(1, (Лист1!$A342=Лист2!$A$2:$A$505)*(Лист1!$B342=Лист2!$B$2:$B$505),Лист2!$C$2:$C$505)</f>
        <v>54</v>
      </c>
      <c r="F342" s="7" cm="1">
        <f t="array" ref="F342">_xlfn.XLOOKUP(1, (Лист1!$A342=Лист2!$A$2:$A$505)*(Лист1!$B342=Лист2!$B$2:$B$505),Лист2!$D$2:$D$505)</f>
        <v>13406</v>
      </c>
      <c r="G342" s="7" cm="1">
        <f t="array" ref="G342">_xlfn.XLOOKUP(1, (Лист1!$A342=Лист2!$A$2:$A$505)*(Лист1!$B342=Лист2!$B$2:$B$505),Лист2!$E$2:$E$505)</f>
        <v>12518</v>
      </c>
      <c r="H342">
        <f t="shared" si="30"/>
        <v>409748.97222222225</v>
      </c>
      <c r="I342">
        <f t="shared" si="31"/>
        <v>19</v>
      </c>
      <c r="J342">
        <f t="shared" si="32"/>
        <v>54</v>
      </c>
      <c r="K342">
        <f t="shared" si="33"/>
        <v>409748.97222222225</v>
      </c>
      <c r="L342">
        <f t="shared" si="34"/>
        <v>54</v>
      </c>
      <c r="M342">
        <f t="shared" si="35"/>
        <v>409748.97222222225</v>
      </c>
      <c r="O342" s="15"/>
      <c r="P342" s="15"/>
    </row>
    <row r="343" spans="1:16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 cm="1">
        <f t="array" ref="E343">_xlfn.XLOOKUP(1, (Лист1!$A343=Лист2!$A$2:$A$505)*(Лист1!$B343=Лист2!$B$2:$B$505),Лист2!$C$2:$C$505)</f>
        <v>54</v>
      </c>
      <c r="F343" s="7" cm="1">
        <f t="array" ref="F343">_xlfn.XLOOKUP(1, (Лист1!$A343=Лист2!$A$2:$A$505)*(Лист1!$B343=Лист2!$B$2:$B$505),Лист2!$D$2:$D$505)</f>
        <v>16221</v>
      </c>
      <c r="G343" s="7" cm="1">
        <f t="array" ref="G343">_xlfn.XLOOKUP(1, (Лист1!$A343=Лист2!$A$2:$A$505)*(Лист1!$B343=Лист2!$B$2:$B$505),Лист2!$E$2:$E$505)</f>
        <v>15065</v>
      </c>
      <c r="H343">
        <f t="shared" si="30"/>
        <v>496419</v>
      </c>
      <c r="I343">
        <f t="shared" si="31"/>
        <v>21</v>
      </c>
      <c r="J343">
        <f t="shared" si="32"/>
        <v>54</v>
      </c>
      <c r="K343">
        <f t="shared" si="33"/>
        <v>496419</v>
      </c>
      <c r="L343">
        <f t="shared" si="34"/>
        <v>54</v>
      </c>
      <c r="M343">
        <f t="shared" si="35"/>
        <v>496419</v>
      </c>
      <c r="O343" s="15"/>
      <c r="P343" s="15"/>
    </row>
    <row r="344" spans="1:16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 cm="1">
        <f t="array" ref="E344">_xlfn.XLOOKUP(1, (Лист1!$A344=Лист2!$A$2:$A$505)*(Лист1!$B344=Лист2!$B$2:$B$505),Лист2!$C$2:$C$505)</f>
        <v>60</v>
      </c>
      <c r="F344" s="7" cm="1">
        <f t="array" ref="F344">_xlfn.XLOOKUP(1, (Лист1!$A344=Лист2!$A$2:$A$505)*(Лист1!$B344=Лист2!$B$2:$B$505),Лист2!$D$2:$D$505)</f>
        <v>12854</v>
      </c>
      <c r="G344" s="7" cm="1">
        <f t="array" ref="G344">_xlfn.XLOOKUP(1, (Лист1!$A344=Лист2!$A$2:$A$505)*(Лист1!$B344=Лист2!$B$2:$B$505),Лист2!$E$2:$E$505)</f>
        <v>11954</v>
      </c>
      <c r="H344">
        <f t="shared" si="30"/>
        <v>342262.22499999998</v>
      </c>
      <c r="I344">
        <f t="shared" si="31"/>
        <v>22</v>
      </c>
      <c r="J344">
        <f t="shared" si="32"/>
        <v>59.142857142857146</v>
      </c>
      <c r="K344">
        <f t="shared" si="33"/>
        <v>347222.54710144928</v>
      </c>
      <c r="L344">
        <f t="shared" si="34"/>
        <v>59.428571428571431</v>
      </c>
      <c r="M344">
        <f t="shared" si="35"/>
        <v>345553.20793269231</v>
      </c>
      <c r="O344" s="15"/>
      <c r="P344" s="15"/>
    </row>
    <row r="345" spans="1:16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 cm="1">
        <f t="array" ref="E345">_xlfn.XLOOKUP(1, (Лист1!$A345=Лист2!$A$2:$A$505)*(Лист1!$B345=Лист2!$B$2:$B$505),Лист2!$C$2:$C$505)</f>
        <v>54</v>
      </c>
      <c r="F345" s="7" cm="1">
        <f t="array" ref="F345">_xlfn.XLOOKUP(1, (Лист1!$A345=Лист2!$A$2:$A$505)*(Лист1!$B345=Лист2!$B$2:$B$505),Лист2!$D$2:$D$505)</f>
        <v>12336</v>
      </c>
      <c r="G345" s="7" cm="1">
        <f t="array" ref="G345">_xlfn.XLOOKUP(1, (Лист1!$A345=Лист2!$A$2:$A$505)*(Лист1!$B345=Лист2!$B$2:$B$505),Лист2!$E$2:$E$505)</f>
        <v>11519</v>
      </c>
      <c r="H345">
        <f t="shared" si="30"/>
        <v>366794.94444444444</v>
      </c>
      <c r="I345">
        <f t="shared" si="31"/>
        <v>22</v>
      </c>
      <c r="J345">
        <f t="shared" si="32"/>
        <v>54</v>
      </c>
      <c r="K345">
        <f t="shared" si="33"/>
        <v>366794.94444444444</v>
      </c>
      <c r="L345">
        <f t="shared" si="34"/>
        <v>54</v>
      </c>
      <c r="M345">
        <f t="shared" si="35"/>
        <v>366794.94444444444</v>
      </c>
      <c r="O345" s="15"/>
      <c r="P345" s="15"/>
    </row>
    <row r="346" spans="1:16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 cm="1">
        <f t="array" ref="E346">_xlfn.XLOOKUP(1, (Лист1!$A346=Лист2!$A$2:$A$505)*(Лист1!$B346=Лист2!$B$2:$B$505),Лист2!$C$2:$C$505)</f>
        <v>54</v>
      </c>
      <c r="F346" s="7" cm="1">
        <f t="array" ref="F346">_xlfn.XLOOKUP(1, (Лист1!$A346=Лист2!$A$2:$A$505)*(Лист1!$B346=Лист2!$B$2:$B$505),Лист2!$D$2:$D$505)</f>
        <v>12817</v>
      </c>
      <c r="G346" s="7" cm="1">
        <f t="array" ref="G346">_xlfn.XLOOKUP(1, (Лист1!$A346=Лист2!$A$2:$A$505)*(Лист1!$B346=Лист2!$B$2:$B$505),Лист2!$E$2:$E$505)</f>
        <v>11865</v>
      </c>
      <c r="H346">
        <f t="shared" si="30"/>
        <v>402601.11111111112</v>
      </c>
      <c r="I346">
        <f t="shared" si="31"/>
        <v>18</v>
      </c>
      <c r="J346">
        <f t="shared" si="32"/>
        <v>54</v>
      </c>
      <c r="K346">
        <f t="shared" si="33"/>
        <v>402601.11111111112</v>
      </c>
      <c r="L346">
        <f t="shared" si="34"/>
        <v>54</v>
      </c>
      <c r="M346">
        <f t="shared" si="35"/>
        <v>402601.11111111112</v>
      </c>
      <c r="O346" s="15"/>
      <c r="P346" s="15"/>
    </row>
    <row r="347" spans="1:16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 cm="1">
        <f t="array" ref="E347">_xlfn.XLOOKUP(1, (Лист1!$A347=Лист2!$A$2:$A$505)*(Лист1!$B347=Лист2!$B$2:$B$505),Лист2!$C$2:$C$505)</f>
        <v>54</v>
      </c>
      <c r="F347" s="7" cm="1">
        <f t="array" ref="F347">_xlfn.XLOOKUP(1, (Лист1!$A347=Лист2!$A$2:$A$505)*(Лист1!$B347=Лист2!$B$2:$B$505),Лист2!$D$2:$D$505)</f>
        <v>13832</v>
      </c>
      <c r="G347" s="7" cm="1">
        <f t="array" ref="G347">_xlfn.XLOOKUP(1, (Лист1!$A347=Лист2!$A$2:$A$505)*(Лист1!$B347=Лист2!$B$2:$B$505),Лист2!$E$2:$E$505)</f>
        <v>12864</v>
      </c>
      <c r="H347">
        <f t="shared" si="30"/>
        <v>434143.05555555556</v>
      </c>
      <c r="I347">
        <f t="shared" si="31"/>
        <v>19</v>
      </c>
      <c r="J347">
        <f t="shared" si="32"/>
        <v>54</v>
      </c>
      <c r="K347">
        <f t="shared" si="33"/>
        <v>434143.05555555556</v>
      </c>
      <c r="L347">
        <f t="shared" si="34"/>
        <v>54</v>
      </c>
      <c r="M347">
        <f t="shared" si="35"/>
        <v>434143.05555555556</v>
      </c>
      <c r="O347" s="15"/>
      <c r="P347" s="15"/>
    </row>
    <row r="348" spans="1:16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 cm="1">
        <f t="array" ref="E348">_xlfn.XLOOKUP(1, (Лист1!$A348=Лист2!$A$2:$A$505)*(Лист1!$B348=Лист2!$B$2:$B$505),Лист2!$C$2:$C$505)</f>
        <v>54</v>
      </c>
      <c r="F348" s="7" cm="1">
        <f t="array" ref="F348">_xlfn.XLOOKUP(1, (Лист1!$A348=Лист2!$A$2:$A$505)*(Лист1!$B348=Лист2!$B$2:$B$505),Лист2!$D$2:$D$505)</f>
        <v>13563</v>
      </c>
      <c r="G348" s="7" cm="1">
        <f t="array" ref="G348">_xlfn.XLOOKUP(1, (Лист1!$A348=Лист2!$A$2:$A$505)*(Лист1!$B348=Лист2!$B$2:$B$505),Лист2!$E$2:$E$505)</f>
        <v>12604</v>
      </c>
      <c r="H348">
        <f t="shared" si="30"/>
        <v>423075.52777777775</v>
      </c>
      <c r="I348">
        <f t="shared" si="31"/>
        <v>19</v>
      </c>
      <c r="J348">
        <f t="shared" si="32"/>
        <v>54</v>
      </c>
      <c r="K348">
        <f t="shared" si="33"/>
        <v>423075.52777777775</v>
      </c>
      <c r="L348">
        <f t="shared" si="34"/>
        <v>54</v>
      </c>
      <c r="M348">
        <f t="shared" si="35"/>
        <v>423075.52777777775</v>
      </c>
      <c r="O348" s="15"/>
      <c r="P348" s="15"/>
    </row>
    <row r="349" spans="1:16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 cm="1">
        <f t="array" ref="E349">_xlfn.XLOOKUP(1, (Лист1!$A349=Лист2!$A$2:$A$505)*(Лист1!$B349=Лист2!$B$2:$B$505),Лист2!$C$2:$C$505)</f>
        <v>54</v>
      </c>
      <c r="F349" s="7" cm="1">
        <f t="array" ref="F349">_xlfn.XLOOKUP(1, (Лист1!$A349=Лист2!$A$2:$A$505)*(Лист1!$B349=Лист2!$B$2:$B$505),Лист2!$D$2:$D$505)</f>
        <v>12743</v>
      </c>
      <c r="G349" s="7" cm="1">
        <f t="array" ref="G349">_xlfn.XLOOKUP(1, (Лист1!$A349=Лист2!$A$2:$A$505)*(Лист1!$B349=Лист2!$B$2:$B$505),Лист2!$E$2:$E$505)</f>
        <v>11858</v>
      </c>
      <c r="H349">
        <f t="shared" si="30"/>
        <v>397463.38888888888</v>
      </c>
      <c r="I349">
        <f t="shared" si="31"/>
        <v>19</v>
      </c>
      <c r="J349">
        <f t="shared" si="32"/>
        <v>54</v>
      </c>
      <c r="K349">
        <f t="shared" si="33"/>
        <v>397463.38888888888</v>
      </c>
      <c r="L349">
        <f t="shared" si="34"/>
        <v>54</v>
      </c>
      <c r="M349">
        <f t="shared" si="35"/>
        <v>397463.38888888888</v>
      </c>
      <c r="O349" s="15"/>
      <c r="P349" s="15"/>
    </row>
    <row r="350" spans="1:16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 cm="1">
        <f t="array" ref="E350">_xlfn.XLOOKUP(1, (Лист1!$A350=Лист2!$A$2:$A$505)*(Лист1!$B350=Лист2!$B$2:$B$505),Лист2!$C$2:$C$505)</f>
        <v>54</v>
      </c>
      <c r="F350" s="7" cm="1">
        <f t="array" ref="F350">_xlfn.XLOOKUP(1, (Лист1!$A350=Лист2!$A$2:$A$505)*(Лист1!$B350=Лист2!$B$2:$B$505),Лист2!$D$2:$D$505)</f>
        <v>12211</v>
      </c>
      <c r="G350" s="7" cm="1">
        <f t="array" ref="G350">_xlfn.XLOOKUP(1, (Лист1!$A350=Лист2!$A$2:$A$505)*(Лист1!$B350=Лист2!$B$2:$B$505),Лист2!$E$2:$E$505)</f>
        <v>11427</v>
      </c>
      <c r="H350">
        <f t="shared" si="30"/>
        <v>353168.83333333331</v>
      </c>
      <c r="I350">
        <f t="shared" si="31"/>
        <v>21</v>
      </c>
      <c r="J350">
        <f t="shared" si="32"/>
        <v>54</v>
      </c>
      <c r="K350">
        <f t="shared" si="33"/>
        <v>353168.83333333331</v>
      </c>
      <c r="L350">
        <f t="shared" si="34"/>
        <v>54</v>
      </c>
      <c r="M350">
        <f t="shared" si="35"/>
        <v>353168.83333333331</v>
      </c>
      <c r="O350" s="15"/>
      <c r="P350" s="15"/>
    </row>
    <row r="351" spans="1:16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 cm="1">
        <f t="array" ref="E351">_xlfn.XLOOKUP(1, (Лист1!$A351=Лист2!$A$2:$A$505)*(Лист1!$B351=Лист2!$B$2:$B$505),Лист2!$C$2:$C$505)</f>
        <v>15</v>
      </c>
      <c r="F351" s="7" cm="1">
        <f t="array" ref="F351">_xlfn.XLOOKUP(1, (Лист1!$A351=Лист2!$A$2:$A$505)*(Лист1!$B351=Лист2!$B$2:$B$505),Лист2!$D$2:$D$505)</f>
        <v>659</v>
      </c>
      <c r="G351" s="7" cm="1">
        <f t="array" ref="G351">_xlfn.XLOOKUP(1, (Лист1!$A351=Лист2!$A$2:$A$505)*(Лист1!$B351=Лист2!$B$2:$B$505),Лист2!$E$2:$E$505)</f>
        <v>575</v>
      </c>
      <c r="H351">
        <f t="shared" si="30"/>
        <v>65434.6</v>
      </c>
      <c r="I351">
        <f t="shared" si="31"/>
        <v>18</v>
      </c>
      <c r="J351">
        <f t="shared" si="32"/>
        <v>15</v>
      </c>
      <c r="K351">
        <f t="shared" si="33"/>
        <v>65434.6</v>
      </c>
      <c r="L351">
        <f t="shared" si="34"/>
        <v>16.285714285714285</v>
      </c>
      <c r="M351">
        <f t="shared" si="35"/>
        <v>60268.710526315794</v>
      </c>
      <c r="O351" s="15"/>
      <c r="P351" s="15"/>
    </row>
    <row r="352" spans="1:16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 cm="1">
        <f t="array" ref="E352">_xlfn.XLOOKUP(1, (Лист1!$A352=Лист2!$A$2:$A$505)*(Лист1!$B352=Лист2!$B$2:$B$505),Лист2!$C$2:$C$505)</f>
        <v>15</v>
      </c>
      <c r="F352" s="7" cm="1">
        <f t="array" ref="F352">_xlfn.XLOOKUP(1, (Лист1!$A352=Лист2!$A$2:$A$505)*(Лист1!$B352=Лист2!$B$2:$B$505),Лист2!$D$2:$D$505)</f>
        <v>636</v>
      </c>
      <c r="G352" s="7" cm="1">
        <f t="array" ref="G352">_xlfn.XLOOKUP(1, (Лист1!$A352=Лист2!$A$2:$A$505)*(Лист1!$B352=Лист2!$B$2:$B$505),Лист2!$E$2:$E$505)</f>
        <v>547</v>
      </c>
      <c r="H352">
        <f t="shared" si="30"/>
        <v>66169.399999999994</v>
      </c>
      <c r="I352">
        <f t="shared" si="31"/>
        <v>18</v>
      </c>
      <c r="J352">
        <f t="shared" si="32"/>
        <v>15</v>
      </c>
      <c r="K352">
        <f t="shared" si="33"/>
        <v>66169.399999999994</v>
      </c>
      <c r="L352">
        <f t="shared" si="34"/>
        <v>16.285714285714285</v>
      </c>
      <c r="M352">
        <f t="shared" si="35"/>
        <v>60945.500000000007</v>
      </c>
      <c r="O352" s="15"/>
      <c r="P352" s="15"/>
    </row>
    <row r="353" spans="1:16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 cm="1">
        <f t="array" ref="E353">_xlfn.XLOOKUP(1, (Лист1!$A353=Лист2!$A$2:$A$505)*(Лист1!$B353=Лист2!$B$2:$B$505),Лист2!$C$2:$C$505)</f>
        <v>54</v>
      </c>
      <c r="F353" s="7" cm="1">
        <f t="array" ref="F353">_xlfn.XLOOKUP(1, (Лист1!$A353=Лист2!$A$2:$A$505)*(Лист1!$B353=Лист2!$B$2:$B$505),Лист2!$D$2:$D$505)</f>
        <v>13106</v>
      </c>
      <c r="G353" s="7" cm="1">
        <f t="array" ref="G353">_xlfn.XLOOKUP(1, (Лист1!$A353=Лист2!$A$2:$A$505)*(Лист1!$B353=Лист2!$B$2:$B$505),Лист2!$E$2:$E$505)</f>
        <v>12164</v>
      </c>
      <c r="H353">
        <f t="shared" si="30"/>
        <v>383652.75</v>
      </c>
      <c r="I353">
        <f t="shared" si="31"/>
        <v>22</v>
      </c>
      <c r="J353">
        <f t="shared" si="32"/>
        <v>54</v>
      </c>
      <c r="K353">
        <f t="shared" si="33"/>
        <v>383652.75</v>
      </c>
      <c r="L353">
        <f t="shared" si="34"/>
        <v>54</v>
      </c>
      <c r="M353">
        <f t="shared" si="35"/>
        <v>383652.75</v>
      </c>
      <c r="O353" s="15"/>
      <c r="P353" s="15"/>
    </row>
    <row r="354" spans="1:16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 cm="1">
        <f t="array" ref="E354">_xlfn.XLOOKUP(1, (Лист1!$A354=Лист2!$A$2:$A$505)*(Лист1!$B354=Лист2!$B$2:$B$505),Лист2!$C$2:$C$505)</f>
        <v>54</v>
      </c>
      <c r="F354" s="7" cm="1">
        <f t="array" ref="F354">_xlfn.XLOOKUP(1, (Лист1!$A354=Лист2!$A$2:$A$505)*(Лист1!$B354=Лист2!$B$2:$B$505),Лист2!$D$2:$D$505)</f>
        <v>14590</v>
      </c>
      <c r="G354" s="7" cm="1">
        <f t="array" ref="G354">_xlfn.XLOOKUP(1, (Лист1!$A354=Лист2!$A$2:$A$505)*(Лист1!$B354=Лист2!$B$2:$B$505),Лист2!$E$2:$E$505)</f>
        <v>13551</v>
      </c>
      <c r="H354">
        <f t="shared" si="30"/>
        <v>447258.88888888888</v>
      </c>
      <c r="I354">
        <f t="shared" si="31"/>
        <v>22</v>
      </c>
      <c r="J354">
        <f t="shared" si="32"/>
        <v>54</v>
      </c>
      <c r="K354">
        <f t="shared" si="33"/>
        <v>447258.88888888888</v>
      </c>
      <c r="L354">
        <f t="shared" si="34"/>
        <v>54</v>
      </c>
      <c r="M354">
        <f t="shared" si="35"/>
        <v>447258.88888888888</v>
      </c>
      <c r="O354" s="15"/>
      <c r="P354" s="15"/>
    </row>
    <row r="355" spans="1:16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 cm="1">
        <f t="array" ref="E355">_xlfn.XLOOKUP(1, (Лист1!$A355=Лист2!$A$2:$A$505)*(Лист1!$B355=Лист2!$B$2:$B$505),Лист2!$C$2:$C$505)</f>
        <v>54</v>
      </c>
      <c r="F355" s="7" cm="1">
        <f t="array" ref="F355">_xlfn.XLOOKUP(1, (Лист1!$A355=Лист2!$A$2:$A$505)*(Лист1!$B355=Лист2!$B$2:$B$505),Лист2!$D$2:$D$505)</f>
        <v>12409</v>
      </c>
      <c r="G355" s="7" cm="1">
        <f t="array" ref="G355">_xlfn.XLOOKUP(1, (Лист1!$A355=Лист2!$A$2:$A$505)*(Лист1!$B355=Лист2!$B$2:$B$505),Лист2!$E$2:$E$505)</f>
        <v>11582</v>
      </c>
      <c r="H355">
        <f t="shared" si="30"/>
        <v>362019.19444444444</v>
      </c>
      <c r="I355">
        <f t="shared" si="31"/>
        <v>22</v>
      </c>
      <c r="J355">
        <f t="shared" si="32"/>
        <v>54</v>
      </c>
      <c r="K355">
        <f t="shared" si="33"/>
        <v>362019.19444444444</v>
      </c>
      <c r="L355">
        <f t="shared" si="34"/>
        <v>54</v>
      </c>
      <c r="M355">
        <f t="shared" si="35"/>
        <v>362019.19444444444</v>
      </c>
      <c r="O355" s="15"/>
      <c r="P355" s="15"/>
    </row>
    <row r="356" spans="1:16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 cm="1">
        <f t="array" ref="E356">_xlfn.XLOOKUP(1, (Лист1!$A356=Лист2!$A$2:$A$505)*(Лист1!$B356=Лист2!$B$2:$B$505),Лист2!$C$2:$C$505)</f>
        <v>16</v>
      </c>
      <c r="F356" s="7" cm="1">
        <f t="array" ref="F356">_xlfn.XLOOKUP(1, (Лист1!$A356=Лист2!$A$2:$A$505)*(Лист1!$B356=Лист2!$B$2:$B$505),Лист2!$D$2:$D$505)</f>
        <v>920</v>
      </c>
      <c r="G356" s="7" cm="1">
        <f t="array" ref="G356">_xlfn.XLOOKUP(1, (Лист1!$A356=Лист2!$A$2:$A$505)*(Лист1!$B356=Лист2!$B$2:$B$505),Лист2!$E$2:$E$505)</f>
        <v>818</v>
      </c>
      <c r="H356">
        <f t="shared" si="30"/>
        <v>82271.90625</v>
      </c>
      <c r="I356">
        <f t="shared" si="31"/>
        <v>20</v>
      </c>
      <c r="J356">
        <f t="shared" si="32"/>
        <v>15.571428571428571</v>
      </c>
      <c r="K356">
        <f t="shared" si="33"/>
        <v>84536.270642201838</v>
      </c>
      <c r="L356">
        <f t="shared" si="34"/>
        <v>16.285714285714285</v>
      </c>
      <c r="M356">
        <f t="shared" si="35"/>
        <v>80828.539473684214</v>
      </c>
      <c r="O356" s="15"/>
      <c r="P356" s="15"/>
    </row>
    <row r="357" spans="1:16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 cm="1">
        <f t="array" ref="E357">_xlfn.XLOOKUP(1, (Лист1!$A357=Лист2!$A$2:$A$505)*(Лист1!$B357=Лист2!$B$2:$B$505),Лист2!$C$2:$C$505)</f>
        <v>17</v>
      </c>
      <c r="F357" s="7" cm="1">
        <f t="array" ref="F357">_xlfn.XLOOKUP(1, (Лист1!$A357=Лист2!$A$2:$A$505)*(Лист1!$B357=Лист2!$B$2:$B$505),Лист2!$D$2:$D$505)</f>
        <v>857</v>
      </c>
      <c r="G357" s="7" cm="1">
        <f t="array" ref="G357">_xlfn.XLOOKUP(1, (Лист1!$A357=Лист2!$A$2:$A$505)*(Лист1!$B357=Лист2!$B$2:$B$505),Лист2!$E$2:$E$505)</f>
        <v>757</v>
      </c>
      <c r="H357">
        <f t="shared" si="30"/>
        <v>66282.970588235301</v>
      </c>
      <c r="I357">
        <f t="shared" si="31"/>
        <v>21</v>
      </c>
      <c r="J357">
        <f t="shared" si="32"/>
        <v>17.428571428571427</v>
      </c>
      <c r="K357">
        <f t="shared" si="33"/>
        <v>64653.061475409842</v>
      </c>
      <c r="L357">
        <f t="shared" si="34"/>
        <v>16.285714285714285</v>
      </c>
      <c r="M357">
        <f t="shared" si="35"/>
        <v>69190.118421052641</v>
      </c>
      <c r="O357" s="15"/>
      <c r="P357" s="15"/>
    </row>
    <row r="358" spans="1:16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 cm="1">
        <f t="array" ref="E358">_xlfn.XLOOKUP(1, (Лист1!$A358=Лист2!$A$2:$A$505)*(Лист1!$B358=Лист2!$B$2:$B$505),Лист2!$C$2:$C$505)</f>
        <v>16</v>
      </c>
      <c r="F358" s="7" cm="1">
        <f t="array" ref="F358">_xlfn.XLOOKUP(1, (Лист1!$A358=Лист2!$A$2:$A$505)*(Лист1!$B358=Лист2!$B$2:$B$505),Лист2!$D$2:$D$505)</f>
        <v>859</v>
      </c>
      <c r="G358" s="7" cm="1">
        <f t="array" ref="G358">_xlfn.XLOOKUP(1, (Лист1!$A358=Лист2!$A$2:$A$505)*(Лист1!$B358=Лист2!$B$2:$B$505),Лист2!$E$2:$E$505)</f>
        <v>746</v>
      </c>
      <c r="H358">
        <f t="shared" si="30"/>
        <v>72345.5625</v>
      </c>
      <c r="I358">
        <f t="shared" si="31"/>
        <v>20</v>
      </c>
      <c r="J358">
        <f t="shared" si="32"/>
        <v>15.571428571428571</v>
      </c>
      <c r="K358">
        <f t="shared" si="33"/>
        <v>74336.724770642206</v>
      </c>
      <c r="L358">
        <f t="shared" si="34"/>
        <v>16.285714285714285</v>
      </c>
      <c r="M358">
        <f t="shared" si="35"/>
        <v>71076.34210526316</v>
      </c>
      <c r="O358" s="15"/>
      <c r="P358" s="15"/>
    </row>
    <row r="359" spans="1:16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 cm="1">
        <f t="array" ref="E359">_xlfn.XLOOKUP(1, (Лист1!$A359=Лист2!$A$2:$A$505)*(Лист1!$B359=Лист2!$B$2:$B$505),Лист2!$C$2:$C$505)</f>
        <v>15</v>
      </c>
      <c r="F359" s="7" cm="1">
        <f t="array" ref="F359">_xlfn.XLOOKUP(1, (Лист1!$A359=Лист2!$A$2:$A$505)*(Лист1!$B359=Лист2!$B$2:$B$505),Лист2!$D$2:$D$505)</f>
        <v>654</v>
      </c>
      <c r="G359" s="7" cm="1">
        <f t="array" ref="G359">_xlfn.XLOOKUP(1, (Лист1!$A359=Лист2!$A$2:$A$505)*(Лист1!$B359=Лист2!$B$2:$B$505),Лист2!$E$2:$E$505)</f>
        <v>570</v>
      </c>
      <c r="H359">
        <f t="shared" si="30"/>
        <v>63720.1</v>
      </c>
      <c r="I359">
        <f t="shared" si="31"/>
        <v>19</v>
      </c>
      <c r="J359">
        <f t="shared" si="32"/>
        <v>15</v>
      </c>
      <c r="K359">
        <f t="shared" si="33"/>
        <v>63720.1</v>
      </c>
      <c r="L359">
        <f t="shared" si="34"/>
        <v>16.285714285714285</v>
      </c>
      <c r="M359">
        <f t="shared" si="35"/>
        <v>58689.565789473687</v>
      </c>
      <c r="O359" s="15"/>
      <c r="P359" s="15"/>
    </row>
    <row r="360" spans="1:16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 cm="1">
        <f t="array" ref="E360">_xlfn.XLOOKUP(1, (Лист1!$A360=Лист2!$A$2:$A$505)*(Лист1!$B360=Лист2!$B$2:$B$505),Лист2!$C$2:$C$505)</f>
        <v>15</v>
      </c>
      <c r="F360" s="7" cm="1">
        <f t="array" ref="F360">_xlfn.XLOOKUP(1, (Лист1!$A360=Лист2!$A$2:$A$505)*(Лист1!$B360=Лист2!$B$2:$B$505),Лист2!$D$2:$D$505)</f>
        <v>622</v>
      </c>
      <c r="G360" s="7" cm="1">
        <f t="array" ref="G360">_xlfn.XLOOKUP(1, (Лист1!$A360=Лист2!$A$2:$A$505)*(Лист1!$B360=Лист2!$B$2:$B$505),Лист2!$E$2:$E$505)</f>
        <v>538</v>
      </c>
      <c r="H360">
        <f t="shared" si="30"/>
        <v>60422.9</v>
      </c>
      <c r="I360">
        <f t="shared" si="31"/>
        <v>19</v>
      </c>
      <c r="J360">
        <f t="shared" si="32"/>
        <v>15</v>
      </c>
      <c r="K360">
        <f t="shared" si="33"/>
        <v>60422.9</v>
      </c>
      <c r="L360">
        <f t="shared" si="34"/>
        <v>16.285714285714285</v>
      </c>
      <c r="M360">
        <f t="shared" si="35"/>
        <v>55652.67105263158</v>
      </c>
      <c r="O360" s="15"/>
      <c r="P360" s="15"/>
    </row>
    <row r="361" spans="1:16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 cm="1">
        <f t="array" ref="E361">_xlfn.XLOOKUP(1, (Лист1!$A361=Лист2!$A$2:$A$505)*(Лист1!$B361=Лист2!$B$2:$B$505),Лист2!$C$2:$C$505)</f>
        <v>15</v>
      </c>
      <c r="F361" s="7" cm="1">
        <f t="array" ref="F361">_xlfn.XLOOKUP(1, (Лист1!$A361=Лист2!$A$2:$A$505)*(Лист1!$B361=Лист2!$B$2:$B$505),Лист2!$D$2:$D$505)</f>
        <v>567</v>
      </c>
      <c r="G361" s="7" cm="1">
        <f t="array" ref="G361">_xlfn.XLOOKUP(1, (Лист1!$A361=Лист2!$A$2:$A$505)*(Лист1!$B361=Лист2!$B$2:$B$505),Лист2!$E$2:$E$505)</f>
        <v>493</v>
      </c>
      <c r="H361">
        <f t="shared" si="30"/>
        <v>54457.3</v>
      </c>
      <c r="I361">
        <f t="shared" si="31"/>
        <v>18</v>
      </c>
      <c r="J361">
        <f t="shared" si="32"/>
        <v>15</v>
      </c>
      <c r="K361">
        <f t="shared" si="33"/>
        <v>54457.3</v>
      </c>
      <c r="L361">
        <f t="shared" si="34"/>
        <v>16.285714285714285</v>
      </c>
      <c r="M361">
        <f t="shared" si="35"/>
        <v>50158.039473684214</v>
      </c>
      <c r="O361" s="15"/>
      <c r="P361" s="15"/>
    </row>
    <row r="362" spans="1:16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 cm="1">
        <f t="array" ref="E362">_xlfn.XLOOKUP(1, (Лист1!$A362=Лист2!$A$2:$A$505)*(Лист1!$B362=Лист2!$B$2:$B$505),Лист2!$C$2:$C$505)</f>
        <v>7</v>
      </c>
      <c r="F362" s="7" cm="1">
        <f t="array" ref="F362">_xlfn.XLOOKUP(1, (Лист1!$A362=Лист2!$A$2:$A$505)*(Лист1!$B362=Лист2!$B$2:$B$505),Лист2!$D$2:$D$505)</f>
        <v>577</v>
      </c>
      <c r="G362" s="7" cm="1">
        <f t="array" ref="G362">_xlfn.XLOOKUP(1, (Лист1!$A362=Лист2!$A$2:$A$505)*(Лист1!$B362=Лист2!$B$2:$B$505),Лист2!$E$2:$E$505)</f>
        <v>389</v>
      </c>
      <c r="H362">
        <f t="shared" si="30"/>
        <v>119116.5</v>
      </c>
      <c r="I362">
        <f t="shared" si="31"/>
        <v>22</v>
      </c>
      <c r="J362">
        <f t="shared" si="32"/>
        <v>7</v>
      </c>
      <c r="K362">
        <f t="shared" si="33"/>
        <v>119116.5</v>
      </c>
      <c r="L362">
        <f t="shared" si="34"/>
        <v>7</v>
      </c>
      <c r="M362">
        <f t="shared" si="35"/>
        <v>119116.5</v>
      </c>
      <c r="O362" s="15"/>
      <c r="P362" s="15"/>
    </row>
    <row r="363" spans="1:16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 cm="1">
        <f t="array" ref="E363">_xlfn.XLOOKUP(1, (Лист1!$A363=Лист2!$A$2:$A$505)*(Лист1!$B363=Лист2!$B$2:$B$505),Лист2!$C$2:$C$505)</f>
        <v>15</v>
      </c>
      <c r="F363" s="7" cm="1">
        <f t="array" ref="F363">_xlfn.XLOOKUP(1, (Лист1!$A363=Лист2!$A$2:$A$505)*(Лист1!$B363=Лист2!$B$2:$B$505),Лист2!$D$2:$D$505)</f>
        <v>721</v>
      </c>
      <c r="G363" s="7" cm="1">
        <f t="array" ref="G363">_xlfn.XLOOKUP(1, (Лист1!$A363=Лист2!$A$2:$A$505)*(Лист1!$B363=Лист2!$B$2:$B$505),Лист2!$E$2:$E$505)</f>
        <v>625</v>
      </c>
      <c r="H363">
        <f t="shared" si="30"/>
        <v>75629.600000000006</v>
      </c>
      <c r="I363">
        <f t="shared" si="31"/>
        <v>18</v>
      </c>
      <c r="J363">
        <f t="shared" si="32"/>
        <v>15</v>
      </c>
      <c r="K363">
        <f t="shared" si="33"/>
        <v>75629.600000000006</v>
      </c>
      <c r="L363">
        <f t="shared" si="34"/>
        <v>16.285714285714285</v>
      </c>
      <c r="M363">
        <f t="shared" si="35"/>
        <v>69658.84210526316</v>
      </c>
      <c r="O363" s="15"/>
      <c r="P363" s="15"/>
    </row>
    <row r="364" spans="1:16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 cm="1">
        <f t="array" ref="E364">_xlfn.XLOOKUP(1, (Лист1!$A364=Лист2!$A$2:$A$505)*(Лист1!$B364=Лист2!$B$2:$B$505),Лист2!$C$2:$C$505)</f>
        <v>15</v>
      </c>
      <c r="F364" s="7" cm="1">
        <f t="array" ref="F364">_xlfn.XLOOKUP(1, (Лист1!$A364=Лист2!$A$2:$A$505)*(Лист1!$B364=Лист2!$B$2:$B$505),Лист2!$D$2:$D$505)</f>
        <v>750</v>
      </c>
      <c r="G364" s="7" cm="1">
        <f t="array" ref="G364">_xlfn.XLOOKUP(1, (Лист1!$A364=Лист2!$A$2:$A$505)*(Лист1!$B364=Лист2!$B$2:$B$505),Лист2!$E$2:$E$505)</f>
        <v>659</v>
      </c>
      <c r="H364">
        <f t="shared" si="30"/>
        <v>72818.5</v>
      </c>
      <c r="I364">
        <f t="shared" si="31"/>
        <v>20</v>
      </c>
      <c r="J364">
        <f t="shared" si="32"/>
        <v>15.571428571428571</v>
      </c>
      <c r="K364">
        <f t="shared" si="33"/>
        <v>70146.261467889912</v>
      </c>
      <c r="L364">
        <f t="shared" si="34"/>
        <v>16.285714285714285</v>
      </c>
      <c r="M364">
        <f t="shared" si="35"/>
        <v>67069.671052631587</v>
      </c>
      <c r="O364" s="15"/>
      <c r="P364" s="15"/>
    </row>
    <row r="365" spans="1:16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 cm="1">
        <f t="array" ref="E365">_xlfn.XLOOKUP(1, (Лист1!$A365=Лист2!$A$2:$A$505)*(Лист1!$B365=Лист2!$B$2:$B$505),Лист2!$C$2:$C$505)</f>
        <v>18</v>
      </c>
      <c r="F365" s="7" cm="1">
        <f t="array" ref="F365">_xlfn.XLOOKUP(1, (Лист1!$A365=Лист2!$A$2:$A$505)*(Лист1!$B365=Лист2!$B$2:$B$505),Лист2!$D$2:$D$505)</f>
        <v>888</v>
      </c>
      <c r="G365" s="7" cm="1">
        <f t="array" ref="G365">_xlfn.XLOOKUP(1, (Лист1!$A365=Лист2!$A$2:$A$505)*(Лист1!$B365=Лист2!$B$2:$B$505),Лист2!$E$2:$E$505)</f>
        <v>786</v>
      </c>
      <c r="H365">
        <f t="shared" si="30"/>
        <v>65143</v>
      </c>
      <c r="I365">
        <f t="shared" si="31"/>
        <v>21</v>
      </c>
      <c r="J365">
        <f t="shared" si="32"/>
        <v>17.428571428571427</v>
      </c>
      <c r="K365">
        <f t="shared" si="33"/>
        <v>67278.836065573778</v>
      </c>
      <c r="L365">
        <f t="shared" si="34"/>
        <v>16.285714285714285</v>
      </c>
      <c r="M365">
        <f t="shared" si="35"/>
        <v>72000.15789473684</v>
      </c>
      <c r="O365" s="15"/>
      <c r="P365" s="15"/>
    </row>
    <row r="366" spans="1:16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 cm="1">
        <f t="array" ref="E366">_xlfn.XLOOKUP(1, (Лист1!$A366=Лист2!$A$2:$A$505)*(Лист1!$B366=Лист2!$B$2:$B$505),Лист2!$C$2:$C$505)</f>
        <v>17</v>
      </c>
      <c r="F366" s="7" cm="1">
        <f t="array" ref="F366">_xlfn.XLOOKUP(1, (Лист1!$A366=Лист2!$A$2:$A$505)*(Лист1!$B366=Лист2!$B$2:$B$505),Лист2!$D$2:$D$505)</f>
        <v>890</v>
      </c>
      <c r="G366" s="7" cm="1">
        <f t="array" ref="G366">_xlfn.XLOOKUP(1, (Лист1!$A366=Лист2!$A$2:$A$505)*(Лист1!$B366=Лист2!$B$2:$B$505),Лист2!$E$2:$E$505)</f>
        <v>794</v>
      </c>
      <c r="H366">
        <f t="shared" si="30"/>
        <v>71632.323529411762</v>
      </c>
      <c r="I366">
        <f t="shared" si="31"/>
        <v>21</v>
      </c>
      <c r="J366">
        <f t="shared" si="32"/>
        <v>17.428571428571427</v>
      </c>
      <c r="K366">
        <f t="shared" si="33"/>
        <v>69870.872950819685</v>
      </c>
      <c r="L366">
        <f t="shared" si="34"/>
        <v>16.285714285714285</v>
      </c>
      <c r="M366">
        <f t="shared" si="35"/>
        <v>74774.09210526316</v>
      </c>
      <c r="O366" s="15"/>
      <c r="P366" s="15"/>
    </row>
    <row r="367" spans="1:16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 cm="1">
        <f t="array" ref="E367">_xlfn.XLOOKUP(1, (Лист1!$A367=Лист2!$A$2:$A$505)*(Лист1!$B367=Лист2!$B$2:$B$505),Лист2!$C$2:$C$505)</f>
        <v>15</v>
      </c>
      <c r="F367" s="7" cm="1">
        <f t="array" ref="F367">_xlfn.XLOOKUP(1, (Лист1!$A367=Лист2!$A$2:$A$505)*(Лист1!$B367=Лист2!$B$2:$B$505),Лист2!$D$2:$D$505)</f>
        <v>750</v>
      </c>
      <c r="G367" s="7" cm="1">
        <f t="array" ref="G367">_xlfn.XLOOKUP(1, (Лист1!$A367=Лист2!$A$2:$A$505)*(Лист1!$B367=Лист2!$B$2:$B$505),Лист2!$E$2:$E$505)</f>
        <v>658</v>
      </c>
      <c r="H367">
        <f t="shared" si="30"/>
        <v>76371.7</v>
      </c>
      <c r="I367">
        <f t="shared" si="31"/>
        <v>19</v>
      </c>
      <c r="J367">
        <f t="shared" si="32"/>
        <v>15</v>
      </c>
      <c r="K367">
        <f t="shared" si="33"/>
        <v>76371.7</v>
      </c>
      <c r="L367">
        <f t="shared" si="34"/>
        <v>16.285714285714285</v>
      </c>
      <c r="M367">
        <f t="shared" si="35"/>
        <v>70342.355263157893</v>
      </c>
      <c r="O367" s="15"/>
      <c r="P367" s="15"/>
    </row>
    <row r="368" spans="1:16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 cm="1">
        <f t="array" ref="E368">_xlfn.XLOOKUP(1, (Лист1!$A368=Лист2!$A$2:$A$505)*(Лист1!$B368=Лист2!$B$2:$B$505),Лист2!$C$2:$C$505)</f>
        <v>15</v>
      </c>
      <c r="F368" s="7" cm="1">
        <f t="array" ref="F368">_xlfn.XLOOKUP(1, (Лист1!$A368=Лист2!$A$2:$A$505)*(Лист1!$B368=Лист2!$B$2:$B$505),Лист2!$D$2:$D$505)</f>
        <v>854</v>
      </c>
      <c r="G368" s="7" cm="1">
        <f t="array" ref="G368">_xlfn.XLOOKUP(1, (Лист1!$A368=Лист2!$A$2:$A$505)*(Лист1!$B368=Лист2!$B$2:$B$505),Лист2!$E$2:$E$505)</f>
        <v>756</v>
      </c>
      <c r="H368">
        <f t="shared" si="30"/>
        <v>78179.399999999994</v>
      </c>
      <c r="I368">
        <f t="shared" si="31"/>
        <v>20</v>
      </c>
      <c r="J368">
        <f t="shared" si="32"/>
        <v>15.571428571428571</v>
      </c>
      <c r="K368">
        <f t="shared" si="33"/>
        <v>75310.431192660559</v>
      </c>
      <c r="L368">
        <f t="shared" si="34"/>
        <v>16.285714285714285</v>
      </c>
      <c r="M368">
        <f t="shared" si="35"/>
        <v>72007.34210526316</v>
      </c>
      <c r="O368" s="15"/>
      <c r="P368" s="15"/>
    </row>
    <row r="369" spans="1:16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 cm="1">
        <f t="array" ref="E369">_xlfn.XLOOKUP(1, (Лист1!$A369=Лист2!$A$2:$A$505)*(Лист1!$B369=Лист2!$B$2:$B$505),Лист2!$C$2:$C$505)</f>
        <v>15</v>
      </c>
      <c r="F369" s="7" cm="1">
        <f t="array" ref="F369">_xlfn.XLOOKUP(1, (Лист1!$A369=Лист2!$A$2:$A$505)*(Лист1!$B369=Лист2!$B$2:$B$505),Лист2!$D$2:$D$505)</f>
        <v>585</v>
      </c>
      <c r="G369" s="7" cm="1">
        <f t="array" ref="G369">_xlfn.XLOOKUP(1, (Лист1!$A369=Лист2!$A$2:$A$505)*(Лист1!$B369=Лист2!$B$2:$B$505),Лист2!$E$2:$E$505)</f>
        <v>502</v>
      </c>
      <c r="H369">
        <f t="shared" si="30"/>
        <v>54410</v>
      </c>
      <c r="I369">
        <f t="shared" si="31"/>
        <v>18</v>
      </c>
      <c r="J369">
        <f t="shared" si="32"/>
        <v>15</v>
      </c>
      <c r="K369">
        <f t="shared" si="33"/>
        <v>54410</v>
      </c>
      <c r="L369">
        <f t="shared" si="34"/>
        <v>16.285714285714285</v>
      </c>
      <c r="M369">
        <f t="shared" si="35"/>
        <v>50114.473684210527</v>
      </c>
      <c r="O369" s="15"/>
      <c r="P369" s="15"/>
    </row>
    <row r="370" spans="1:16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 cm="1">
        <f t="array" ref="E370">_xlfn.XLOOKUP(1, (Лист1!$A370=Лист2!$A$2:$A$505)*(Лист1!$B370=Лист2!$B$2:$B$505),Лист2!$C$2:$C$505)</f>
        <v>15</v>
      </c>
      <c r="F370" s="7" cm="1">
        <f t="array" ref="F370">_xlfn.XLOOKUP(1, (Лист1!$A370=Лист2!$A$2:$A$505)*(Лист1!$B370=Лист2!$B$2:$B$505),Лист2!$D$2:$D$505)</f>
        <v>701</v>
      </c>
      <c r="G370" s="7" cm="1">
        <f t="array" ref="G370">_xlfn.XLOOKUP(1, (Лист1!$A370=Лист2!$A$2:$A$505)*(Лист1!$B370=Лист2!$B$2:$B$505),Лист2!$E$2:$E$505)</f>
        <v>611</v>
      </c>
      <c r="H370">
        <f t="shared" si="30"/>
        <v>67771.100000000006</v>
      </c>
      <c r="I370">
        <f t="shared" si="31"/>
        <v>19</v>
      </c>
      <c r="J370">
        <f t="shared" si="32"/>
        <v>15</v>
      </c>
      <c r="K370">
        <f t="shared" si="33"/>
        <v>67771.100000000006</v>
      </c>
      <c r="L370">
        <f t="shared" si="34"/>
        <v>16.285714285714285</v>
      </c>
      <c r="M370">
        <f t="shared" si="35"/>
        <v>62420.750000000007</v>
      </c>
      <c r="O370" s="15"/>
      <c r="P370" s="15"/>
    </row>
    <row r="371" spans="1:16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 cm="1">
        <f t="array" ref="E371">_xlfn.XLOOKUP(1, (Лист1!$A371=Лист2!$A$2:$A$505)*(Лист1!$B371=Лист2!$B$2:$B$505),Лист2!$C$2:$C$505)</f>
        <v>18</v>
      </c>
      <c r="F371" s="7" cm="1">
        <f t="array" ref="F371">_xlfn.XLOOKUP(1, (Лист1!$A371=Лист2!$A$2:$A$505)*(Лист1!$B371=Лист2!$B$2:$B$505),Лист2!$D$2:$D$505)</f>
        <v>1031</v>
      </c>
      <c r="G371" s="7" cm="1">
        <f t="array" ref="G371">_xlfn.XLOOKUP(1, (Лист1!$A371=Лист2!$A$2:$A$505)*(Лист1!$B371=Лист2!$B$2:$B$505),Лист2!$E$2:$E$505)</f>
        <v>918</v>
      </c>
      <c r="H371">
        <f t="shared" si="30"/>
        <v>80966.166666666672</v>
      </c>
      <c r="I371">
        <f t="shared" si="31"/>
        <v>21</v>
      </c>
      <c r="J371">
        <f t="shared" si="32"/>
        <v>17.428571428571427</v>
      </c>
      <c r="K371">
        <f t="shared" si="33"/>
        <v>83620.795081967226</v>
      </c>
      <c r="L371">
        <f t="shared" si="34"/>
        <v>16.285714285714285</v>
      </c>
      <c r="M371">
        <f t="shared" si="35"/>
        <v>89488.921052631587</v>
      </c>
      <c r="O371" s="15"/>
      <c r="P371" s="15"/>
    </row>
    <row r="372" spans="1:16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 cm="1">
        <f t="array" ref="E372">_xlfn.XLOOKUP(1, (Лист1!$A372=Лист2!$A$2:$A$505)*(Лист1!$B372=Лист2!$B$2:$B$505),Лист2!$C$2:$C$505)</f>
        <v>18</v>
      </c>
      <c r="F372" s="7" cm="1">
        <f t="array" ref="F372">_xlfn.XLOOKUP(1, (Лист1!$A372=Лист2!$A$2:$A$505)*(Лист1!$B372=Лист2!$B$2:$B$505),Лист2!$D$2:$D$505)</f>
        <v>989</v>
      </c>
      <c r="G372" s="7" cm="1">
        <f t="array" ref="G372">_xlfn.XLOOKUP(1, (Лист1!$A372=Лист2!$A$2:$A$505)*(Лист1!$B372=Лист2!$B$2:$B$505),Лист2!$E$2:$E$505)</f>
        <v>887</v>
      </c>
      <c r="H372">
        <f t="shared" si="30"/>
        <v>73705.833333333328</v>
      </c>
      <c r="I372">
        <f t="shared" si="31"/>
        <v>22</v>
      </c>
      <c r="J372">
        <f t="shared" si="32"/>
        <v>18</v>
      </c>
      <c r="K372">
        <f t="shared" si="33"/>
        <v>73705.833333333328</v>
      </c>
      <c r="L372">
        <f t="shared" si="34"/>
        <v>16.285714285714285</v>
      </c>
      <c r="M372">
        <f t="shared" si="35"/>
        <v>81464.34210526316</v>
      </c>
      <c r="O372" s="15"/>
      <c r="P372" s="15"/>
    </row>
    <row r="373" spans="1:16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 cm="1">
        <f t="array" ref="E373">_xlfn.XLOOKUP(1, (Лист1!$A373=Лист2!$A$2:$A$505)*(Лист1!$B373=Лист2!$B$2:$B$505),Лист2!$C$2:$C$505)</f>
        <v>15</v>
      </c>
      <c r="F373" s="7" cm="1">
        <f t="array" ref="F373">_xlfn.XLOOKUP(1, (Лист1!$A373=Лист2!$A$2:$A$505)*(Лист1!$B373=Лист2!$B$2:$B$505),Лист2!$D$2:$D$505)</f>
        <v>644</v>
      </c>
      <c r="G373" s="7" cm="1">
        <f t="array" ref="G373">_xlfn.XLOOKUP(1, (Лист1!$A373=Лист2!$A$2:$A$505)*(Лист1!$B373=Лист2!$B$2:$B$505),Лист2!$E$2:$E$505)</f>
        <v>550</v>
      </c>
      <c r="H373">
        <f t="shared" si="30"/>
        <v>66967.399999999994</v>
      </c>
      <c r="I373">
        <f t="shared" si="31"/>
        <v>18</v>
      </c>
      <c r="J373">
        <f t="shared" si="32"/>
        <v>15</v>
      </c>
      <c r="K373">
        <f t="shared" si="33"/>
        <v>66967.399999999994</v>
      </c>
      <c r="L373">
        <f t="shared" si="34"/>
        <v>16.285714285714285</v>
      </c>
      <c r="M373">
        <f t="shared" si="35"/>
        <v>61680.500000000007</v>
      </c>
      <c r="O373" s="15"/>
      <c r="P373" s="15"/>
    </row>
    <row r="374" spans="1:16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 cm="1">
        <f t="array" ref="E374">_xlfn.XLOOKUP(1, (Лист1!$A374=Лист2!$A$2:$A$505)*(Лист1!$B374=Лист2!$B$2:$B$505),Лист2!$C$2:$C$505)</f>
        <v>15</v>
      </c>
      <c r="F374" s="7" cm="1">
        <f t="array" ref="F374">_xlfn.XLOOKUP(1, (Лист1!$A374=Лист2!$A$2:$A$505)*(Лист1!$B374=Лист2!$B$2:$B$505),Лист2!$D$2:$D$505)</f>
        <v>792</v>
      </c>
      <c r="G374" s="7" cm="1">
        <f t="array" ref="G374">_xlfn.XLOOKUP(1, (Лист1!$A374=Лист2!$A$2:$A$505)*(Лист1!$B374=Лист2!$B$2:$B$505),Лист2!$E$2:$E$505)</f>
        <v>695</v>
      </c>
      <c r="H374">
        <f t="shared" si="30"/>
        <v>81103.8</v>
      </c>
      <c r="I374">
        <f t="shared" si="31"/>
        <v>19</v>
      </c>
      <c r="J374">
        <f t="shared" si="32"/>
        <v>15</v>
      </c>
      <c r="K374">
        <f t="shared" si="33"/>
        <v>81103.8</v>
      </c>
      <c r="L374">
        <f t="shared" si="34"/>
        <v>16.285714285714285</v>
      </c>
      <c r="M374">
        <f t="shared" si="35"/>
        <v>74700.868421052641</v>
      </c>
      <c r="O374" s="15"/>
      <c r="P374" s="15"/>
    </row>
    <row r="375" spans="1:16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 cm="1">
        <f t="array" ref="E375">_xlfn.XLOOKUP(1, (Лист1!$A375=Лист2!$A$2:$A$505)*(Лист1!$B375=Лист2!$B$2:$B$505),Лист2!$C$2:$C$505)</f>
        <v>15</v>
      </c>
      <c r="F375" s="7" cm="1">
        <f t="array" ref="F375">_xlfn.XLOOKUP(1, (Лист1!$A375=Лист2!$A$2:$A$505)*(Лист1!$B375=Лист2!$B$2:$B$505),Лист2!$D$2:$D$505)</f>
        <v>703</v>
      </c>
      <c r="G375" s="7" cm="1">
        <f t="array" ref="G375">_xlfn.XLOOKUP(1, (Лист1!$A375=Лист2!$A$2:$A$505)*(Лист1!$B375=Лист2!$B$2:$B$505),Лист2!$E$2:$E$505)</f>
        <v>609</v>
      </c>
      <c r="H375">
        <f t="shared" si="30"/>
        <v>69789.899999999994</v>
      </c>
      <c r="I375">
        <f t="shared" si="31"/>
        <v>19</v>
      </c>
      <c r="J375">
        <f t="shared" si="32"/>
        <v>15</v>
      </c>
      <c r="K375">
        <f t="shared" si="33"/>
        <v>69789.899999999994</v>
      </c>
      <c r="L375">
        <f t="shared" si="34"/>
        <v>16.285714285714285</v>
      </c>
      <c r="M375">
        <f t="shared" si="35"/>
        <v>64280.17105263158</v>
      </c>
      <c r="O375" s="15"/>
      <c r="P375" s="15"/>
    </row>
    <row r="376" spans="1:16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 cm="1">
        <f t="array" ref="E376">_xlfn.XLOOKUP(1, (Лист1!$A376=Лист2!$A$2:$A$505)*(Лист1!$B376=Лист2!$B$2:$B$505),Лист2!$C$2:$C$505)</f>
        <v>15</v>
      </c>
      <c r="F376" s="7" cm="1">
        <f t="array" ref="F376">_xlfn.XLOOKUP(1, (Лист1!$A376=Лист2!$A$2:$A$505)*(Лист1!$B376=Лист2!$B$2:$B$505),Лист2!$D$2:$D$505)</f>
        <v>676</v>
      </c>
      <c r="G376" s="7" cm="1">
        <f t="array" ref="G376">_xlfn.XLOOKUP(1, (Лист1!$A376=Лист2!$A$2:$A$505)*(Лист1!$B376=Лист2!$B$2:$B$505),Лист2!$E$2:$E$505)</f>
        <v>591</v>
      </c>
      <c r="H376">
        <f t="shared" si="30"/>
        <v>64392</v>
      </c>
      <c r="I376">
        <f t="shared" si="31"/>
        <v>19</v>
      </c>
      <c r="J376">
        <f t="shared" si="32"/>
        <v>15</v>
      </c>
      <c r="K376">
        <f t="shared" si="33"/>
        <v>64392</v>
      </c>
      <c r="L376">
        <f t="shared" si="34"/>
        <v>16.285714285714285</v>
      </c>
      <c r="M376">
        <f t="shared" si="35"/>
        <v>59308.42105263158</v>
      </c>
      <c r="O376" s="15"/>
      <c r="P376" s="15"/>
    </row>
    <row r="377" spans="1:16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 cm="1">
        <f t="array" ref="E377">_xlfn.XLOOKUP(1, (Лист1!$A377=Лист2!$A$2:$A$505)*(Лист1!$B377=Лист2!$B$2:$B$505),Лист2!$C$2:$C$505)</f>
        <v>18</v>
      </c>
      <c r="F377" s="7" cm="1">
        <f t="array" ref="F377">_xlfn.XLOOKUP(1, (Лист1!$A377=Лист2!$A$2:$A$505)*(Лист1!$B377=Лист2!$B$2:$B$505),Лист2!$D$2:$D$505)</f>
        <v>1006</v>
      </c>
      <c r="G377" s="7" cm="1">
        <f t="array" ref="G377">_xlfn.XLOOKUP(1, (Лист1!$A377=Лист2!$A$2:$A$505)*(Лист1!$B377=Лист2!$B$2:$B$505),Лист2!$E$2:$E$505)</f>
        <v>904</v>
      </c>
      <c r="H377">
        <f t="shared" si="30"/>
        <v>77014.583333333328</v>
      </c>
      <c r="I377">
        <f t="shared" si="31"/>
        <v>21</v>
      </c>
      <c r="J377">
        <f t="shared" si="32"/>
        <v>17.428571428571427</v>
      </c>
      <c r="K377">
        <f t="shared" si="33"/>
        <v>79539.651639344273</v>
      </c>
      <c r="L377">
        <f t="shared" si="34"/>
        <v>16.285714285714285</v>
      </c>
      <c r="M377">
        <f t="shared" si="35"/>
        <v>85121.381578947374</v>
      </c>
      <c r="O377" s="15"/>
      <c r="P377" s="15"/>
    </row>
    <row r="378" spans="1:16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 cm="1">
        <f t="array" ref="E378">_xlfn.XLOOKUP(1, (Лист1!$A378=Лист2!$A$2:$A$505)*(Лист1!$B378=Лист2!$B$2:$B$505),Лист2!$C$2:$C$505)</f>
        <v>18</v>
      </c>
      <c r="F378" s="7" cm="1">
        <f t="array" ref="F378">_xlfn.XLOOKUP(1, (Лист1!$A378=Лист2!$A$2:$A$505)*(Лист1!$B378=Лист2!$B$2:$B$505),Лист2!$D$2:$D$505)</f>
        <v>914</v>
      </c>
      <c r="G378" s="7" cm="1">
        <f t="array" ref="G378">_xlfn.XLOOKUP(1, (Лист1!$A378=Лист2!$A$2:$A$505)*(Лист1!$B378=Лист2!$B$2:$B$505),Лист2!$E$2:$E$505)</f>
        <v>804</v>
      </c>
      <c r="H378">
        <f t="shared" si="30"/>
        <v>67247.583333333328</v>
      </c>
      <c r="I378">
        <f t="shared" si="31"/>
        <v>22</v>
      </c>
      <c r="J378">
        <f t="shared" si="32"/>
        <v>18</v>
      </c>
      <c r="K378">
        <f t="shared" si="33"/>
        <v>67247.583333333328</v>
      </c>
      <c r="L378">
        <f t="shared" si="34"/>
        <v>16.285714285714285</v>
      </c>
      <c r="M378">
        <f t="shared" si="35"/>
        <v>74326.276315789481</v>
      </c>
      <c r="O378" s="15"/>
      <c r="P378" s="15"/>
    </row>
    <row r="379" spans="1:16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 cm="1">
        <f t="array" ref="E379">_xlfn.XLOOKUP(1, (Лист1!$A379=Лист2!$A$2:$A$505)*(Лист1!$B379=Лист2!$B$2:$B$505),Лист2!$C$2:$C$505)</f>
        <v>15</v>
      </c>
      <c r="F379" s="7" cm="1">
        <f t="array" ref="F379">_xlfn.XLOOKUP(1, (Лист1!$A379=Лист2!$A$2:$A$505)*(Лист1!$B379=Лист2!$B$2:$B$505),Лист2!$D$2:$D$505)</f>
        <v>453</v>
      </c>
      <c r="G379" s="7" cm="1">
        <f t="array" ref="G379">_xlfn.XLOOKUP(1, (Лист1!$A379=Лист2!$A$2:$A$505)*(Лист1!$B379=Лист2!$B$2:$B$505),Лист2!$E$2:$E$505)</f>
        <v>370</v>
      </c>
      <c r="H379">
        <f t="shared" si="30"/>
        <v>42423</v>
      </c>
      <c r="I379">
        <f t="shared" si="31"/>
        <v>23</v>
      </c>
      <c r="J379">
        <f t="shared" si="32"/>
        <v>15</v>
      </c>
      <c r="K379">
        <f t="shared" si="33"/>
        <v>42423</v>
      </c>
      <c r="L379">
        <f t="shared" si="34"/>
        <v>15</v>
      </c>
      <c r="M379">
        <f t="shared" si="35"/>
        <v>42423</v>
      </c>
      <c r="O379" s="15"/>
      <c r="P379" s="15"/>
    </row>
    <row r="380" spans="1:16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 cm="1">
        <f t="array" ref="E380">_xlfn.XLOOKUP(1, (Лист1!$A380=Лист2!$A$2:$A$505)*(Лист1!$B380=Лист2!$B$2:$B$505),Лист2!$C$2:$C$505)</f>
        <v>9</v>
      </c>
      <c r="F380" s="7" cm="1">
        <f t="array" ref="F380">_xlfn.XLOOKUP(1, (Лист1!$A380=Лист2!$A$2:$A$505)*(Лист1!$B380=Лист2!$B$2:$B$505),Лист2!$D$2:$D$505)</f>
        <v>345</v>
      </c>
      <c r="G380" s="7" cm="1">
        <f t="array" ref="G380">_xlfn.XLOOKUP(1, (Лист1!$A380=Лист2!$A$2:$A$505)*(Лист1!$B380=Лист2!$B$2:$B$505),Лист2!$E$2:$E$505)</f>
        <v>255</v>
      </c>
      <c r="H380">
        <f t="shared" si="30"/>
        <v>54877</v>
      </c>
      <c r="I380">
        <f t="shared" si="31"/>
        <v>22</v>
      </c>
      <c r="J380">
        <f t="shared" si="32"/>
        <v>9</v>
      </c>
      <c r="K380">
        <f t="shared" si="33"/>
        <v>54877</v>
      </c>
      <c r="L380">
        <f t="shared" si="34"/>
        <v>9</v>
      </c>
      <c r="M380">
        <f t="shared" si="35"/>
        <v>54877</v>
      </c>
      <c r="O380" s="15"/>
      <c r="P380" s="15"/>
    </row>
    <row r="381" spans="1:16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 cm="1">
        <f t="array" ref="E381">_xlfn.XLOOKUP(1, (Лист1!$A381=Лист2!$A$2:$A$505)*(Лист1!$B381=Лист2!$B$2:$B$505),Лист2!$C$2:$C$505)</f>
        <v>7</v>
      </c>
      <c r="F381" s="7" cm="1">
        <f t="array" ref="F381">_xlfn.XLOOKUP(1, (Лист1!$A381=Лист2!$A$2:$A$505)*(Лист1!$B381=Лист2!$B$2:$B$505),Лист2!$D$2:$D$505)</f>
        <v>532</v>
      </c>
      <c r="G381" s="7" cm="1">
        <f t="array" ref="G381">_xlfn.XLOOKUP(1, (Лист1!$A381=Лист2!$A$2:$A$505)*(Лист1!$B381=Лист2!$B$2:$B$505),Лист2!$E$2:$E$505)</f>
        <v>449</v>
      </c>
      <c r="H381">
        <f t="shared" si="30"/>
        <v>132667.92857142858</v>
      </c>
      <c r="I381">
        <f t="shared" si="31"/>
        <v>22</v>
      </c>
      <c r="J381">
        <f t="shared" si="32"/>
        <v>7</v>
      </c>
      <c r="K381">
        <f t="shared" si="33"/>
        <v>132667.92857142858</v>
      </c>
      <c r="L381">
        <f t="shared" si="34"/>
        <v>7</v>
      </c>
      <c r="M381">
        <f t="shared" si="35"/>
        <v>132667.92857142858</v>
      </c>
      <c r="O381" s="15"/>
      <c r="P381" s="15"/>
    </row>
    <row r="382" spans="1:16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 cm="1">
        <f t="array" ref="E382">_xlfn.XLOOKUP(1, (Лист1!$A382=Лист2!$A$2:$A$505)*(Лист1!$B382=Лист2!$B$2:$B$505),Лист2!$C$2:$C$505)</f>
        <v>15</v>
      </c>
      <c r="F382" s="7" cm="1">
        <f t="array" ref="F382">_xlfn.XLOOKUP(1, (Лист1!$A382=Лист2!$A$2:$A$505)*(Лист1!$B382=Лист2!$B$2:$B$505),Лист2!$D$2:$D$505)</f>
        <v>400</v>
      </c>
      <c r="G382" s="7" cm="1">
        <f t="array" ref="G382">_xlfn.XLOOKUP(1, (Лист1!$A382=Лист2!$A$2:$A$505)*(Лист1!$B382=Лист2!$B$2:$B$505),Лист2!$E$2:$E$505)</f>
        <v>329</v>
      </c>
      <c r="H382">
        <f t="shared" si="30"/>
        <v>43415.8</v>
      </c>
      <c r="I382">
        <f t="shared" si="31"/>
        <v>22</v>
      </c>
      <c r="J382">
        <f t="shared" si="32"/>
        <v>15</v>
      </c>
      <c r="K382">
        <f t="shared" si="33"/>
        <v>43415.8</v>
      </c>
      <c r="L382">
        <f t="shared" si="34"/>
        <v>15</v>
      </c>
      <c r="M382">
        <f t="shared" si="35"/>
        <v>43415.8</v>
      </c>
      <c r="O382" s="15"/>
      <c r="P382" s="15"/>
    </row>
    <row r="383" spans="1:16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 cm="1">
        <f t="array" ref="E383">_xlfn.XLOOKUP(1, (Лист1!$A383=Лист2!$A$2:$A$505)*(Лист1!$B383=Лист2!$B$2:$B$505),Лист2!$C$2:$C$505)</f>
        <v>7</v>
      </c>
      <c r="F383" s="7" cm="1">
        <f t="array" ref="F383">_xlfn.XLOOKUP(1, (Лист1!$A383=Лист2!$A$2:$A$505)*(Лист1!$B383=Лист2!$B$2:$B$505),Лист2!$D$2:$D$505)</f>
        <v>420</v>
      </c>
      <c r="G383" s="7" cm="1">
        <f t="array" ref="G383">_xlfn.XLOOKUP(1, (Лист1!$A383=Лист2!$A$2:$A$505)*(Лист1!$B383=Лист2!$B$2:$B$505),Лист2!$E$2:$E$505)</f>
        <v>347</v>
      </c>
      <c r="H383">
        <f t="shared" si="30"/>
        <v>99238.5</v>
      </c>
      <c r="I383">
        <f t="shared" si="31"/>
        <v>22</v>
      </c>
      <c r="J383">
        <f t="shared" si="32"/>
        <v>7</v>
      </c>
      <c r="K383">
        <f t="shared" si="33"/>
        <v>99238.5</v>
      </c>
      <c r="L383">
        <f t="shared" si="34"/>
        <v>7</v>
      </c>
      <c r="M383">
        <f t="shared" si="35"/>
        <v>99238.5</v>
      </c>
      <c r="O383" s="15"/>
      <c r="P383" s="15"/>
    </row>
    <row r="384" spans="1:16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 cm="1">
        <f t="array" ref="E384">_xlfn.XLOOKUP(1, (Лист1!$A384=Лист2!$A$2:$A$505)*(Лист1!$B384=Лист2!$B$2:$B$505),Лист2!$C$2:$C$505)</f>
        <v>20</v>
      </c>
      <c r="F384" s="7" cm="1">
        <f t="array" ref="F384">_xlfn.XLOOKUP(1, (Лист1!$A384=Лист2!$A$2:$A$505)*(Лист1!$B384=Лист2!$B$2:$B$505),Лист2!$D$2:$D$505)</f>
        <v>2079</v>
      </c>
      <c r="G384" s="7" cm="1">
        <f t="array" ref="G384">_xlfn.XLOOKUP(1, (Лист1!$A384=Лист2!$A$2:$A$505)*(Лист1!$B384=Лист2!$B$2:$B$505),Лист2!$E$2:$E$505)</f>
        <v>1893</v>
      </c>
      <c r="H384">
        <f t="shared" si="30"/>
        <v>150787.57500000001</v>
      </c>
      <c r="I384">
        <f t="shared" si="31"/>
        <v>22</v>
      </c>
      <c r="J384">
        <f t="shared" si="32"/>
        <v>20.142857142857142</v>
      </c>
      <c r="K384">
        <f t="shared" si="33"/>
        <v>149718.1595744681</v>
      </c>
      <c r="L384">
        <f t="shared" si="34"/>
        <v>20.285714285714285</v>
      </c>
      <c r="M384">
        <f t="shared" si="35"/>
        <v>148663.80633802817</v>
      </c>
      <c r="O384" s="15"/>
      <c r="P384" s="15"/>
    </row>
    <row r="385" spans="1:16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 cm="1">
        <f t="array" ref="E385">_xlfn.XLOOKUP(1, (Лист1!$A385=Лист2!$A$2:$A$505)*(Лист1!$B385=Лист2!$B$2:$B$505),Лист2!$C$2:$C$505)</f>
        <v>21</v>
      </c>
      <c r="F385" s="7" cm="1">
        <f t="array" ref="F385">_xlfn.XLOOKUP(1, (Лист1!$A385=Лист2!$A$2:$A$505)*(Лист1!$B385=Лист2!$B$2:$B$505),Лист2!$D$2:$D$505)</f>
        <v>2046</v>
      </c>
      <c r="G385" s="7" cm="1">
        <f t="array" ref="G385">_xlfn.XLOOKUP(1, (Лист1!$A385=Лист2!$A$2:$A$505)*(Лист1!$B385=Лист2!$B$2:$B$505),Лист2!$E$2:$E$505)</f>
        <v>1853</v>
      </c>
      <c r="H385">
        <f t="shared" si="30"/>
        <v>147193.78571428571</v>
      </c>
      <c r="I385">
        <f t="shared" si="31"/>
        <v>21</v>
      </c>
      <c r="J385">
        <f t="shared" si="32"/>
        <v>20.857142857142858</v>
      </c>
      <c r="K385">
        <f t="shared" si="33"/>
        <v>148201.96232876711</v>
      </c>
      <c r="L385">
        <f t="shared" si="34"/>
        <v>20.285714285714285</v>
      </c>
      <c r="M385">
        <f t="shared" si="35"/>
        <v>152376.66549295775</v>
      </c>
      <c r="O385" s="15"/>
      <c r="P385" s="15"/>
    </row>
    <row r="386" spans="1:16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 cm="1">
        <f t="array" ref="E386">_xlfn.XLOOKUP(1, (Лист1!$A386=Лист2!$A$2:$A$505)*(Лист1!$B386=Лист2!$B$2:$B$505),Лист2!$C$2:$C$505)</f>
        <v>6</v>
      </c>
      <c r="F386" s="7" cm="1">
        <f t="array" ref="F386">_xlfn.XLOOKUP(1, (Лист1!$A386=Лист2!$A$2:$A$505)*(Лист1!$B386=Лист2!$B$2:$B$505),Лист2!$D$2:$D$505)</f>
        <v>261</v>
      </c>
      <c r="G386" s="7" cm="1">
        <f t="array" ref="G386">_xlfn.XLOOKUP(1, (Лист1!$A386=Лист2!$A$2:$A$505)*(Лист1!$B386=Лист2!$B$2:$B$505),Лист2!$E$2:$E$505)</f>
        <v>188</v>
      </c>
      <c r="H386">
        <f t="shared" si="30"/>
        <v>78139.25</v>
      </c>
      <c r="I386">
        <f t="shared" si="31"/>
        <v>22</v>
      </c>
      <c r="J386">
        <f t="shared" si="32"/>
        <v>6</v>
      </c>
      <c r="K386">
        <f t="shared" si="33"/>
        <v>78139.25</v>
      </c>
      <c r="L386">
        <f t="shared" si="34"/>
        <v>6</v>
      </c>
      <c r="M386">
        <f t="shared" si="35"/>
        <v>78139.25</v>
      </c>
      <c r="O386" s="15"/>
      <c r="P386" s="15"/>
    </row>
    <row r="387" spans="1:16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 cm="1">
        <f t="array" ref="E387">_xlfn.XLOOKUP(1, (Лист1!$A387=Лист2!$A$2:$A$505)*(Лист1!$B387=Лист2!$B$2:$B$505),Лист2!$C$2:$C$505)</f>
        <v>21</v>
      </c>
      <c r="F387" s="7" cm="1">
        <f t="array" ref="F387">_xlfn.XLOOKUP(1, (Лист1!$A387=Лист2!$A$2:$A$505)*(Лист1!$B387=Лист2!$B$2:$B$505),Лист2!$D$2:$D$505)</f>
        <v>1597</v>
      </c>
      <c r="G387" s="7" cm="1">
        <f t="array" ref="G387">_xlfn.XLOOKUP(1, (Лист1!$A387=Лист2!$A$2:$A$505)*(Лист1!$B387=Лист2!$B$2:$B$505),Лист2!$E$2:$E$505)</f>
        <v>1457</v>
      </c>
      <c r="H387">
        <f t="shared" ref="H387:H450" si="36">$D387/$E387</f>
        <v>118066.5</v>
      </c>
      <c r="I387">
        <f t="shared" ref="I387:I450" si="37">WEEKNUM($A387,2)</f>
        <v>20</v>
      </c>
      <c r="J387">
        <f t="shared" ref="J387:J450" si="38">AVERAGEIFS($E$2:$E$505,$I$2:$I$505,$I387,$B$2:$B$505,$B387)</f>
        <v>21</v>
      </c>
      <c r="K387">
        <f t="shared" ref="K387:K450" si="39">$D387/$J387</f>
        <v>118066.5</v>
      </c>
      <c r="L387">
        <f t="shared" ref="L387:L450" si="40">AVERAGEIFS($E$2:$E$505,$B$2:$B$505,$B387)</f>
        <v>20.285714285714285</v>
      </c>
      <c r="M387">
        <f t="shared" ref="M387:M450" si="41">$D387/$L387</f>
        <v>122223.77112676056</v>
      </c>
      <c r="O387" s="15"/>
      <c r="P387" s="15"/>
    </row>
    <row r="388" spans="1:16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 cm="1">
        <f t="array" ref="E388">_xlfn.XLOOKUP(1, (Лист1!$A388=Лист2!$A$2:$A$505)*(Лист1!$B388=Лист2!$B$2:$B$505),Лист2!$C$2:$C$505)</f>
        <v>18</v>
      </c>
      <c r="F388" s="7" cm="1">
        <f t="array" ref="F388">_xlfn.XLOOKUP(1, (Лист1!$A388=Лист2!$A$2:$A$505)*(Лист1!$B388=Лист2!$B$2:$B$505),Лист2!$D$2:$D$505)</f>
        <v>1216</v>
      </c>
      <c r="G388" s="7" cm="1">
        <f t="array" ref="G388">_xlfn.XLOOKUP(1, (Лист1!$A388=Лист2!$A$2:$A$505)*(Лист1!$B388=Лист2!$B$2:$B$505),Лист2!$E$2:$E$505)</f>
        <v>1101</v>
      </c>
      <c r="H388">
        <f t="shared" si="36"/>
        <v>98508.583333333328</v>
      </c>
      <c r="I388">
        <f t="shared" si="37"/>
        <v>22</v>
      </c>
      <c r="J388">
        <f t="shared" si="38"/>
        <v>18</v>
      </c>
      <c r="K388">
        <f t="shared" si="39"/>
        <v>98508.583333333328</v>
      </c>
      <c r="L388">
        <f t="shared" si="40"/>
        <v>16.285714285714285</v>
      </c>
      <c r="M388">
        <f t="shared" si="41"/>
        <v>108877.90789473685</v>
      </c>
      <c r="O388" s="15"/>
      <c r="P388" s="15"/>
    </row>
    <row r="389" spans="1:16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 cm="1">
        <f t="array" ref="E389">_xlfn.XLOOKUP(1, (Лист1!$A389=Лист2!$A$2:$A$505)*(Лист1!$B389=Лист2!$B$2:$B$505),Лист2!$C$2:$C$505)</f>
        <v>18</v>
      </c>
      <c r="F389" s="7" cm="1">
        <f t="array" ref="F389">_xlfn.XLOOKUP(1, (Лист1!$A389=Лист2!$A$2:$A$505)*(Лист1!$B389=Лист2!$B$2:$B$505),Лист2!$D$2:$D$505)</f>
        <v>1020</v>
      </c>
      <c r="G389" s="7" cm="1">
        <f t="array" ref="G389">_xlfn.XLOOKUP(1, (Лист1!$A389=Лист2!$A$2:$A$505)*(Лист1!$B389=Лист2!$B$2:$B$505),Лист2!$E$2:$E$505)</f>
        <v>911</v>
      </c>
      <c r="H389">
        <f t="shared" si="36"/>
        <v>77080.166666666672</v>
      </c>
      <c r="I389">
        <f t="shared" si="37"/>
        <v>22</v>
      </c>
      <c r="J389">
        <f t="shared" si="38"/>
        <v>18</v>
      </c>
      <c r="K389">
        <f t="shared" si="39"/>
        <v>77080.166666666672</v>
      </c>
      <c r="L389">
        <f t="shared" si="40"/>
        <v>16.285714285714285</v>
      </c>
      <c r="M389">
        <f t="shared" si="41"/>
        <v>85193.868421052641</v>
      </c>
      <c r="O389" s="15"/>
      <c r="P389" s="15"/>
    </row>
    <row r="390" spans="1:16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 cm="1">
        <f t="array" ref="E390">_xlfn.XLOOKUP(1, (Лист1!$A390=Лист2!$A$2:$A$505)*(Лист1!$B390=Лист2!$B$2:$B$505),Лист2!$C$2:$C$505)</f>
        <v>21</v>
      </c>
      <c r="F390" s="7" cm="1">
        <f t="array" ref="F390">_xlfn.XLOOKUP(1, (Лист1!$A390=Лист2!$A$2:$A$505)*(Лист1!$B390=Лист2!$B$2:$B$505),Лист2!$D$2:$D$505)</f>
        <v>1834</v>
      </c>
      <c r="G390" s="7" cm="1">
        <f t="array" ref="G390">_xlfn.XLOOKUP(1, (Лист1!$A390=Лист2!$A$2:$A$505)*(Лист1!$B390=Лист2!$B$2:$B$505),Лист2!$E$2:$E$505)</f>
        <v>1660</v>
      </c>
      <c r="H390">
        <f t="shared" si="36"/>
        <v>134589.5</v>
      </c>
      <c r="I390">
        <f t="shared" si="37"/>
        <v>21</v>
      </c>
      <c r="J390">
        <f t="shared" si="38"/>
        <v>20.857142857142858</v>
      </c>
      <c r="K390">
        <f t="shared" si="39"/>
        <v>135511.34589041094</v>
      </c>
      <c r="L390">
        <f t="shared" si="40"/>
        <v>20.285714285714285</v>
      </c>
      <c r="M390">
        <f t="shared" si="41"/>
        <v>139328.56690140846</v>
      </c>
      <c r="O390" s="15"/>
      <c r="P390" s="15"/>
    </row>
    <row r="391" spans="1:16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 cm="1">
        <f t="array" ref="E391">_xlfn.XLOOKUP(1, (Лист1!$A391=Лист2!$A$2:$A$505)*(Лист1!$B391=Лист2!$B$2:$B$505),Лист2!$C$2:$C$505)</f>
        <v>21</v>
      </c>
      <c r="F391" s="7" cm="1">
        <f t="array" ref="F391">_xlfn.XLOOKUP(1, (Лист1!$A391=Лист2!$A$2:$A$505)*(Лист1!$B391=Лист2!$B$2:$B$505),Лист2!$D$2:$D$505)</f>
        <v>1706</v>
      </c>
      <c r="G391" s="7" cm="1">
        <f t="array" ref="G391">_xlfn.XLOOKUP(1, (Лист1!$A391=Лист2!$A$2:$A$505)*(Лист1!$B391=Лист2!$B$2:$B$505),Лист2!$E$2:$E$505)</f>
        <v>1548</v>
      </c>
      <c r="H391">
        <f t="shared" si="36"/>
        <v>128720.57142857143</v>
      </c>
      <c r="I391">
        <f t="shared" si="37"/>
        <v>20</v>
      </c>
      <c r="J391">
        <f t="shared" si="38"/>
        <v>21</v>
      </c>
      <c r="K391">
        <f t="shared" si="39"/>
        <v>128720.57142857143</v>
      </c>
      <c r="L391">
        <f t="shared" si="40"/>
        <v>20.285714285714285</v>
      </c>
      <c r="M391">
        <f t="shared" si="41"/>
        <v>133252.98591549296</v>
      </c>
      <c r="O391" s="15"/>
      <c r="P391" s="15"/>
    </row>
    <row r="392" spans="1:16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 cm="1">
        <f t="array" ref="E392">_xlfn.XLOOKUP(1, (Лист1!$A392=Лист2!$A$2:$A$505)*(Лист1!$B392=Лист2!$B$2:$B$505),Лист2!$C$2:$C$505)</f>
        <v>21</v>
      </c>
      <c r="F392" s="7" cm="1">
        <f t="array" ref="F392">_xlfn.XLOOKUP(1, (Лист1!$A392=Лист2!$A$2:$A$505)*(Лист1!$B392=Лист2!$B$2:$B$505),Лист2!$D$2:$D$505)</f>
        <v>1926</v>
      </c>
      <c r="G392" s="7" cm="1">
        <f t="array" ref="G392">_xlfn.XLOOKUP(1, (Лист1!$A392=Лист2!$A$2:$A$505)*(Лист1!$B392=Лист2!$B$2:$B$505),Лист2!$E$2:$E$505)</f>
        <v>1742</v>
      </c>
      <c r="H392">
        <f t="shared" si="36"/>
        <v>144680.64285714287</v>
      </c>
      <c r="I392">
        <f t="shared" si="37"/>
        <v>20</v>
      </c>
      <c r="J392">
        <f t="shared" si="38"/>
        <v>21</v>
      </c>
      <c r="K392">
        <f t="shared" si="39"/>
        <v>144680.64285714287</v>
      </c>
      <c r="L392">
        <f t="shared" si="40"/>
        <v>20.285714285714285</v>
      </c>
      <c r="M392">
        <f t="shared" si="41"/>
        <v>149775.03169014087</v>
      </c>
      <c r="O392" s="15"/>
      <c r="P392" s="15"/>
    </row>
    <row r="393" spans="1:16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 cm="1">
        <f t="array" ref="E393">_xlfn.XLOOKUP(1, (Лист1!$A393=Лист2!$A$2:$A$505)*(Лист1!$B393=Лист2!$B$2:$B$505),Лист2!$C$2:$C$505)</f>
        <v>21</v>
      </c>
      <c r="F393" s="7" cm="1">
        <f t="array" ref="F393">_xlfn.XLOOKUP(1, (Лист1!$A393=Лист2!$A$2:$A$505)*(Лист1!$B393=Лист2!$B$2:$B$505),Лист2!$D$2:$D$505)</f>
        <v>2025</v>
      </c>
      <c r="G393" s="7" cm="1">
        <f t="array" ref="G393">_xlfn.XLOOKUP(1, (Лист1!$A393=Лист2!$A$2:$A$505)*(Лист1!$B393=Лист2!$B$2:$B$505),Лист2!$E$2:$E$505)</f>
        <v>1849</v>
      </c>
      <c r="H393">
        <f t="shared" si="36"/>
        <v>140239.78571428571</v>
      </c>
      <c r="I393">
        <f t="shared" si="37"/>
        <v>23</v>
      </c>
      <c r="J393">
        <f t="shared" si="38"/>
        <v>21</v>
      </c>
      <c r="K393">
        <f t="shared" si="39"/>
        <v>140239.78571428571</v>
      </c>
      <c r="L393">
        <f t="shared" si="40"/>
        <v>20.285714285714285</v>
      </c>
      <c r="M393">
        <f t="shared" si="41"/>
        <v>145177.80633802817</v>
      </c>
      <c r="O393" s="15"/>
      <c r="P393" s="15"/>
    </row>
    <row r="394" spans="1:16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 cm="1">
        <f t="array" ref="E394">_xlfn.XLOOKUP(1, (Лист1!$A394=Лист2!$A$2:$A$505)*(Лист1!$B394=Лист2!$B$2:$B$505),Лист2!$C$2:$C$505)</f>
        <v>7</v>
      </c>
      <c r="F394" s="7" cm="1">
        <f t="array" ref="F394">_xlfn.XLOOKUP(1, (Лист1!$A394=Лист2!$A$2:$A$505)*(Лист1!$B394=Лист2!$B$2:$B$505),Лист2!$D$2:$D$505)</f>
        <v>530</v>
      </c>
      <c r="G394" s="7" cm="1">
        <f t="array" ref="G394">_xlfn.XLOOKUP(1, (Лист1!$A394=Лист2!$A$2:$A$505)*(Лист1!$B394=Лист2!$B$2:$B$505),Лист2!$E$2:$E$505)</f>
        <v>447</v>
      </c>
      <c r="H394">
        <f t="shared" si="36"/>
        <v>123717.64285714286</v>
      </c>
      <c r="I394">
        <f t="shared" si="37"/>
        <v>22</v>
      </c>
      <c r="J394">
        <f t="shared" si="38"/>
        <v>7</v>
      </c>
      <c r="K394">
        <f t="shared" si="39"/>
        <v>123717.64285714286</v>
      </c>
      <c r="L394">
        <f t="shared" si="40"/>
        <v>7</v>
      </c>
      <c r="M394">
        <f t="shared" si="41"/>
        <v>123717.64285714286</v>
      </c>
      <c r="O394" s="15"/>
      <c r="P394" s="15"/>
    </row>
    <row r="395" spans="1:16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 cm="1">
        <f t="array" ref="E395">_xlfn.XLOOKUP(1, (Лист1!$A395=Лист2!$A$2:$A$505)*(Лист1!$B395=Лист2!$B$2:$B$505),Лист2!$C$2:$C$505)</f>
        <v>20</v>
      </c>
      <c r="F395" s="7" cm="1">
        <f t="array" ref="F395">_xlfn.XLOOKUP(1, (Лист1!$A395=Лист2!$A$2:$A$505)*(Лист1!$B395=Лист2!$B$2:$B$505),Лист2!$D$2:$D$505)</f>
        <v>2111</v>
      </c>
      <c r="G395" s="7" cm="1">
        <f t="array" ref="G395">_xlfn.XLOOKUP(1, (Лист1!$A395=Лист2!$A$2:$A$505)*(Лист1!$B395=Лист2!$B$2:$B$505),Лист2!$E$2:$E$505)</f>
        <v>1917</v>
      </c>
      <c r="H395">
        <f t="shared" si="36"/>
        <v>159658.35</v>
      </c>
      <c r="I395">
        <f t="shared" si="37"/>
        <v>22</v>
      </c>
      <c r="J395">
        <f t="shared" si="38"/>
        <v>20.142857142857142</v>
      </c>
      <c r="K395">
        <f t="shared" si="39"/>
        <v>158526.02127659574</v>
      </c>
      <c r="L395">
        <f t="shared" si="40"/>
        <v>20.285714285714285</v>
      </c>
      <c r="M395">
        <f t="shared" si="41"/>
        <v>157409.64084507042</v>
      </c>
      <c r="O395" s="15"/>
      <c r="P395" s="15"/>
    </row>
    <row r="396" spans="1:16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 cm="1">
        <f t="array" ref="E396">_xlfn.XLOOKUP(1, (Лист1!$A396=Лист2!$A$2:$A$505)*(Лист1!$B396=Лист2!$B$2:$B$505),Лист2!$C$2:$C$505)</f>
        <v>31</v>
      </c>
      <c r="F396" s="7" cm="1">
        <f t="array" ref="F396">_xlfn.XLOOKUP(1, (Лист1!$A396=Лист2!$A$2:$A$505)*(Лист1!$B396=Лист2!$B$2:$B$505),Лист2!$D$2:$D$505)</f>
        <v>5330</v>
      </c>
      <c r="G396" s="7" cm="1">
        <f t="array" ref="G396">_xlfn.XLOOKUP(1, (Лист1!$A396=Лист2!$A$2:$A$505)*(Лист1!$B396=Лист2!$B$2:$B$505),Лист2!$E$2:$E$505)</f>
        <v>4977</v>
      </c>
      <c r="H396">
        <f t="shared" si="36"/>
        <v>216163.98387096773</v>
      </c>
      <c r="I396">
        <f t="shared" si="37"/>
        <v>22</v>
      </c>
      <c r="J396">
        <f t="shared" si="38"/>
        <v>31</v>
      </c>
      <c r="K396">
        <f t="shared" si="39"/>
        <v>216163.98387096773</v>
      </c>
      <c r="L396">
        <f t="shared" si="40"/>
        <v>31</v>
      </c>
      <c r="M396">
        <f t="shared" si="41"/>
        <v>216163.98387096773</v>
      </c>
      <c r="O396" s="15"/>
      <c r="P396" s="15"/>
    </row>
    <row r="397" spans="1:16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 cm="1">
        <f t="array" ref="E397">_xlfn.XLOOKUP(1, (Лист1!$A397=Лист2!$A$2:$A$505)*(Лист1!$B397=Лист2!$B$2:$B$505),Лист2!$C$2:$C$505)</f>
        <v>31</v>
      </c>
      <c r="F397" s="7" cm="1">
        <f t="array" ref="F397">_xlfn.XLOOKUP(1, (Лист1!$A397=Лист2!$A$2:$A$505)*(Лист1!$B397=Лист2!$B$2:$B$505),Лист2!$D$2:$D$505)</f>
        <v>5965</v>
      </c>
      <c r="G397" s="7" cm="1">
        <f t="array" ref="G397">_xlfn.XLOOKUP(1, (Лист1!$A397=Лист2!$A$2:$A$505)*(Лист1!$B397=Лист2!$B$2:$B$505),Лист2!$E$2:$E$505)</f>
        <v>5533</v>
      </c>
      <c r="H397">
        <f t="shared" si="36"/>
        <v>249305.32258064515</v>
      </c>
      <c r="I397">
        <f t="shared" si="37"/>
        <v>21</v>
      </c>
      <c r="J397">
        <f t="shared" si="38"/>
        <v>31</v>
      </c>
      <c r="K397">
        <f t="shared" si="39"/>
        <v>249305.32258064515</v>
      </c>
      <c r="L397">
        <f t="shared" si="40"/>
        <v>31</v>
      </c>
      <c r="M397">
        <f t="shared" si="41"/>
        <v>249305.32258064515</v>
      </c>
      <c r="O397" s="15"/>
      <c r="P397" s="15"/>
    </row>
    <row r="398" spans="1:16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 cm="1">
        <f t="array" ref="E398">_xlfn.XLOOKUP(1, (Лист1!$A398=Лист2!$A$2:$A$505)*(Лист1!$B398=Лист2!$B$2:$B$505),Лист2!$C$2:$C$505)</f>
        <v>31</v>
      </c>
      <c r="F398" s="7" cm="1">
        <f t="array" ref="F398">_xlfn.XLOOKUP(1, (Лист1!$A398=Лист2!$A$2:$A$505)*(Лист1!$B398=Лист2!$B$2:$B$505),Лист2!$D$2:$D$505)</f>
        <v>5468</v>
      </c>
      <c r="G398" s="7" cm="1">
        <f t="array" ref="G398">_xlfn.XLOOKUP(1, (Лист1!$A398=Лист2!$A$2:$A$505)*(Лист1!$B398=Лист2!$B$2:$B$505),Лист2!$E$2:$E$505)</f>
        <v>5081</v>
      </c>
      <c r="H398">
        <f t="shared" si="36"/>
        <v>220320.04838709679</v>
      </c>
      <c r="I398">
        <f t="shared" si="37"/>
        <v>23</v>
      </c>
      <c r="J398">
        <f t="shared" si="38"/>
        <v>31</v>
      </c>
      <c r="K398">
        <f t="shared" si="39"/>
        <v>220320.04838709679</v>
      </c>
      <c r="L398">
        <f t="shared" si="40"/>
        <v>31</v>
      </c>
      <c r="M398">
        <f t="shared" si="41"/>
        <v>220320.04838709679</v>
      </c>
      <c r="O398" s="15"/>
      <c r="P398" s="15"/>
    </row>
    <row r="399" spans="1:16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 cm="1">
        <f t="array" ref="E399">_xlfn.XLOOKUP(1, (Лист1!$A399=Лист2!$A$2:$A$505)*(Лист1!$B399=Лист2!$B$2:$B$505),Лист2!$C$2:$C$505)</f>
        <v>18</v>
      </c>
      <c r="F399" s="7" cm="1">
        <f t="array" ref="F399">_xlfn.XLOOKUP(1, (Лист1!$A399=Лист2!$A$2:$A$505)*(Лист1!$B399=Лист2!$B$2:$B$505),Лист2!$D$2:$D$505)</f>
        <v>1029</v>
      </c>
      <c r="G399" s="7" cm="1">
        <f t="array" ref="G399">_xlfn.XLOOKUP(1, (Лист1!$A399=Лист2!$A$2:$A$505)*(Лист1!$B399=Лист2!$B$2:$B$505),Лист2!$E$2:$E$505)</f>
        <v>925</v>
      </c>
      <c r="H399">
        <f t="shared" si="36"/>
        <v>79078.333333333328</v>
      </c>
      <c r="I399">
        <f t="shared" si="37"/>
        <v>22</v>
      </c>
      <c r="J399">
        <f t="shared" si="38"/>
        <v>18</v>
      </c>
      <c r="K399">
        <f t="shared" si="39"/>
        <v>79078.333333333328</v>
      </c>
      <c r="L399">
        <f t="shared" si="40"/>
        <v>16.285714285714285</v>
      </c>
      <c r="M399">
        <f t="shared" si="41"/>
        <v>87402.368421052641</v>
      </c>
      <c r="O399" s="15"/>
      <c r="P399" s="15"/>
    </row>
    <row r="400" spans="1:16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 cm="1">
        <f t="array" ref="E400">_xlfn.XLOOKUP(1, (Лист1!$A400=Лист2!$A$2:$A$505)*(Лист1!$B400=Лист2!$B$2:$B$505),Лист2!$C$2:$C$505)</f>
        <v>31</v>
      </c>
      <c r="F400" s="7" cm="1">
        <f t="array" ref="F400">_xlfn.XLOOKUP(1, (Лист1!$A400=Лист2!$A$2:$A$505)*(Лист1!$B400=Лист2!$B$2:$B$505),Лист2!$D$2:$D$505)</f>
        <v>4826</v>
      </c>
      <c r="G400" s="7" cm="1">
        <f t="array" ref="G400">_xlfn.XLOOKUP(1, (Лист1!$A400=Лист2!$A$2:$A$505)*(Лист1!$B400=Лист2!$B$2:$B$505),Лист2!$E$2:$E$505)</f>
        <v>4483</v>
      </c>
      <c r="H400">
        <f t="shared" si="36"/>
        <v>206410.30645161291</v>
      </c>
      <c r="I400">
        <f t="shared" si="37"/>
        <v>20</v>
      </c>
      <c r="J400">
        <f t="shared" si="38"/>
        <v>31</v>
      </c>
      <c r="K400">
        <f t="shared" si="39"/>
        <v>206410.30645161291</v>
      </c>
      <c r="L400">
        <f t="shared" si="40"/>
        <v>31</v>
      </c>
      <c r="M400">
        <f t="shared" si="41"/>
        <v>206410.30645161291</v>
      </c>
      <c r="O400" s="15"/>
      <c r="P400" s="15"/>
    </row>
    <row r="401" spans="1:16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 cm="1">
        <f t="array" ref="E401">_xlfn.XLOOKUP(1, (Лист1!$A401=Лист2!$A$2:$A$505)*(Лист1!$B401=Лист2!$B$2:$B$505),Лист2!$C$2:$C$505)</f>
        <v>31</v>
      </c>
      <c r="F401" s="7" cm="1">
        <f t="array" ref="F401">_xlfn.XLOOKUP(1, (Лист1!$A401=Лист2!$A$2:$A$505)*(Лист1!$B401=Лист2!$B$2:$B$505),Лист2!$D$2:$D$505)</f>
        <v>5165</v>
      </c>
      <c r="G401" s="7" cm="1">
        <f t="array" ref="G401">_xlfn.XLOOKUP(1, (Лист1!$A401=Лист2!$A$2:$A$505)*(Лист1!$B401=Лист2!$B$2:$B$505),Лист2!$E$2:$E$505)</f>
        <v>4813</v>
      </c>
      <c r="H401">
        <f t="shared" si="36"/>
        <v>213216.5806451613</v>
      </c>
      <c r="I401">
        <f t="shared" si="37"/>
        <v>21</v>
      </c>
      <c r="J401">
        <f t="shared" si="38"/>
        <v>31</v>
      </c>
      <c r="K401">
        <f t="shared" si="39"/>
        <v>213216.5806451613</v>
      </c>
      <c r="L401">
        <f t="shared" si="40"/>
        <v>31</v>
      </c>
      <c r="M401">
        <f t="shared" si="41"/>
        <v>213216.5806451613</v>
      </c>
      <c r="O401" s="15"/>
      <c r="P401" s="15"/>
    </row>
    <row r="402" spans="1:16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 cm="1">
        <f t="array" ref="E402">_xlfn.XLOOKUP(1, (Лист1!$A402=Лист2!$A$2:$A$505)*(Лист1!$B402=Лист2!$B$2:$B$505),Лист2!$C$2:$C$505)</f>
        <v>31</v>
      </c>
      <c r="F402" s="7" cm="1">
        <f t="array" ref="F402">_xlfn.XLOOKUP(1, (Лист1!$A402=Лист2!$A$2:$A$505)*(Лист1!$B402=Лист2!$B$2:$B$505),Лист2!$D$2:$D$505)</f>
        <v>4695</v>
      </c>
      <c r="G402" s="7" cm="1">
        <f t="array" ref="G402">_xlfn.XLOOKUP(1, (Лист1!$A402=Лист2!$A$2:$A$505)*(Лист1!$B402=Лист2!$B$2:$B$505),Лист2!$E$2:$E$505)</f>
        <v>4372</v>
      </c>
      <c r="H402">
        <f t="shared" si="36"/>
        <v>195279</v>
      </c>
      <c r="I402">
        <f t="shared" si="37"/>
        <v>20</v>
      </c>
      <c r="J402">
        <f t="shared" si="38"/>
        <v>31</v>
      </c>
      <c r="K402">
        <f t="shared" si="39"/>
        <v>195279</v>
      </c>
      <c r="L402">
        <f t="shared" si="40"/>
        <v>31</v>
      </c>
      <c r="M402">
        <f t="shared" si="41"/>
        <v>195279</v>
      </c>
      <c r="O402" s="15"/>
      <c r="P402" s="15"/>
    </row>
    <row r="403" spans="1:16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 cm="1">
        <f t="array" ref="E403">_xlfn.XLOOKUP(1, (Лист1!$A403=Лист2!$A$2:$A$505)*(Лист1!$B403=Лист2!$B$2:$B$505),Лист2!$C$2:$C$505)</f>
        <v>31</v>
      </c>
      <c r="F403" s="7" cm="1">
        <f t="array" ref="F403">_xlfn.XLOOKUP(1, (Лист1!$A403=Лист2!$A$2:$A$505)*(Лист1!$B403=Лист2!$B$2:$B$505),Лист2!$D$2:$D$505)</f>
        <v>5184</v>
      </c>
      <c r="G403" s="7" cm="1">
        <f t="array" ref="G403">_xlfn.XLOOKUP(1, (Лист1!$A403=Лист2!$A$2:$A$505)*(Лист1!$B403=Лист2!$B$2:$B$505),Лист2!$E$2:$E$505)</f>
        <v>4778</v>
      </c>
      <c r="H403">
        <f t="shared" si="36"/>
        <v>221821.11290322582</v>
      </c>
      <c r="I403">
        <f t="shared" si="37"/>
        <v>20</v>
      </c>
      <c r="J403">
        <f t="shared" si="38"/>
        <v>31</v>
      </c>
      <c r="K403">
        <f t="shared" si="39"/>
        <v>221821.11290322582</v>
      </c>
      <c r="L403">
        <f t="shared" si="40"/>
        <v>31</v>
      </c>
      <c r="M403">
        <f t="shared" si="41"/>
        <v>221821.11290322582</v>
      </c>
      <c r="O403" s="15"/>
      <c r="P403" s="15"/>
    </row>
    <row r="404" spans="1:16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 cm="1">
        <f t="array" ref="E404">_xlfn.XLOOKUP(1, (Лист1!$A404=Лист2!$A$2:$A$505)*(Лист1!$B404=Лист2!$B$2:$B$505),Лист2!$C$2:$C$505)</f>
        <v>10</v>
      </c>
      <c r="F404" s="7" cm="1">
        <f t="array" ref="F404">_xlfn.XLOOKUP(1, (Лист1!$A404=Лист2!$A$2:$A$505)*(Лист1!$B404=Лист2!$B$2:$B$505),Лист2!$D$2:$D$505)</f>
        <v>757</v>
      </c>
      <c r="G404" s="7" cm="1">
        <f t="array" ref="G404">_xlfn.XLOOKUP(1, (Лист1!$A404=Лист2!$A$2:$A$505)*(Лист1!$B404=Лист2!$B$2:$B$505),Лист2!$E$2:$E$505)</f>
        <v>660</v>
      </c>
      <c r="H404">
        <f t="shared" si="36"/>
        <v>105479.85</v>
      </c>
      <c r="I404">
        <f t="shared" si="37"/>
        <v>22</v>
      </c>
      <c r="J404">
        <f t="shared" si="38"/>
        <v>10</v>
      </c>
      <c r="K404">
        <f t="shared" si="39"/>
        <v>105479.85</v>
      </c>
      <c r="L404">
        <f t="shared" si="40"/>
        <v>10</v>
      </c>
      <c r="M404">
        <f t="shared" si="41"/>
        <v>105479.85</v>
      </c>
      <c r="O404" s="15"/>
      <c r="P404" s="15"/>
    </row>
    <row r="405" spans="1:16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 cm="1">
        <f t="array" ref="E405">_xlfn.XLOOKUP(1, (Лист1!$A405=Лист2!$A$2:$A$505)*(Лист1!$B405=Лист2!$B$2:$B$505),Лист2!$C$2:$C$505)</f>
        <v>10</v>
      </c>
      <c r="F405" s="7" cm="1">
        <f t="array" ref="F405">_xlfn.XLOOKUP(1, (Лист1!$A405=Лист2!$A$2:$A$505)*(Лист1!$B405=Лист2!$B$2:$B$505),Лист2!$D$2:$D$505)</f>
        <v>965</v>
      </c>
      <c r="G405" s="7" cm="1">
        <f t="array" ref="G405">_xlfn.XLOOKUP(1, (Лист1!$A405=Лист2!$A$2:$A$505)*(Лист1!$B405=Лист2!$B$2:$B$505),Лист2!$E$2:$E$505)</f>
        <v>861</v>
      </c>
      <c r="H405">
        <f t="shared" si="36"/>
        <v>145504.95000000001</v>
      </c>
      <c r="I405">
        <f t="shared" si="37"/>
        <v>21</v>
      </c>
      <c r="J405">
        <f t="shared" si="38"/>
        <v>10</v>
      </c>
      <c r="K405">
        <f t="shared" si="39"/>
        <v>145504.95000000001</v>
      </c>
      <c r="L405">
        <f t="shared" si="40"/>
        <v>10</v>
      </c>
      <c r="M405">
        <f t="shared" si="41"/>
        <v>145504.95000000001</v>
      </c>
      <c r="O405" s="15"/>
      <c r="P405" s="15"/>
    </row>
    <row r="406" spans="1:16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 cm="1">
        <f t="array" ref="E406">_xlfn.XLOOKUP(1, (Лист1!$A406=Лист2!$A$2:$A$505)*(Лист1!$B406=Лист2!$B$2:$B$505),Лист2!$C$2:$C$505)</f>
        <v>10</v>
      </c>
      <c r="F406" s="7" cm="1">
        <f t="array" ref="F406">_xlfn.XLOOKUP(1, (Лист1!$A406=Лист2!$A$2:$A$505)*(Лист1!$B406=Лист2!$B$2:$B$505),Лист2!$D$2:$D$505)</f>
        <v>719</v>
      </c>
      <c r="G406" s="7" cm="1">
        <f t="array" ref="G406">_xlfn.XLOOKUP(1, (Лист1!$A406=Лист2!$A$2:$A$505)*(Лист1!$B406=Лист2!$B$2:$B$505),Лист2!$E$2:$E$505)</f>
        <v>627</v>
      </c>
      <c r="H406">
        <f t="shared" si="36"/>
        <v>100774.2</v>
      </c>
      <c r="I406">
        <f t="shared" si="37"/>
        <v>23</v>
      </c>
      <c r="J406">
        <f t="shared" si="38"/>
        <v>10</v>
      </c>
      <c r="K406">
        <f t="shared" si="39"/>
        <v>100774.2</v>
      </c>
      <c r="L406">
        <f t="shared" si="40"/>
        <v>10</v>
      </c>
      <c r="M406">
        <f t="shared" si="41"/>
        <v>100774.2</v>
      </c>
      <c r="O406" s="15"/>
      <c r="P406" s="15"/>
    </row>
    <row r="407" spans="1:16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 cm="1">
        <f t="array" ref="E407">_xlfn.XLOOKUP(1, (Лист1!$A407=Лист2!$A$2:$A$505)*(Лист1!$B407=Лист2!$B$2:$B$505),Лист2!$C$2:$C$505)</f>
        <v>10</v>
      </c>
      <c r="F407" s="7" cm="1">
        <f t="array" ref="F407">_xlfn.XLOOKUP(1, (Лист1!$A407=Лист2!$A$2:$A$505)*(Лист1!$B407=Лист2!$B$2:$B$505),Лист2!$D$2:$D$505)</f>
        <v>494</v>
      </c>
      <c r="G407" s="7" cm="1">
        <f t="array" ref="G407">_xlfn.XLOOKUP(1, (Лист1!$A407=Лист2!$A$2:$A$505)*(Лист1!$B407=Лист2!$B$2:$B$505),Лист2!$E$2:$E$505)</f>
        <v>421</v>
      </c>
      <c r="H407">
        <f t="shared" si="36"/>
        <v>73433.55</v>
      </c>
      <c r="I407">
        <f t="shared" si="37"/>
        <v>20</v>
      </c>
      <c r="J407">
        <f t="shared" si="38"/>
        <v>10</v>
      </c>
      <c r="K407">
        <f t="shared" si="39"/>
        <v>73433.55</v>
      </c>
      <c r="L407">
        <f t="shared" si="40"/>
        <v>10</v>
      </c>
      <c r="M407">
        <f t="shared" si="41"/>
        <v>73433.55</v>
      </c>
      <c r="O407" s="15"/>
      <c r="P407" s="15"/>
    </row>
    <row r="408" spans="1:16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 cm="1">
        <f t="array" ref="E408">_xlfn.XLOOKUP(1, (Лист1!$A408=Лист2!$A$2:$A$505)*(Лист1!$B408=Лист2!$B$2:$B$505),Лист2!$C$2:$C$505)</f>
        <v>31</v>
      </c>
      <c r="F408" s="7" cm="1">
        <f t="array" ref="F408">_xlfn.XLOOKUP(1, (Лист1!$A408=Лист2!$A$2:$A$505)*(Лист1!$B408=Лист2!$B$2:$B$505),Лист2!$D$2:$D$505)</f>
        <v>5751</v>
      </c>
      <c r="G408" s="7" cm="1">
        <f t="array" ref="G408">_xlfn.XLOOKUP(1, (Лист1!$A408=Лист2!$A$2:$A$505)*(Лист1!$B408=Лист2!$B$2:$B$505),Лист2!$E$2:$E$505)</f>
        <v>5319</v>
      </c>
      <c r="H408">
        <f t="shared" si="36"/>
        <v>238294.06451612903</v>
      </c>
      <c r="I408">
        <f t="shared" si="37"/>
        <v>22</v>
      </c>
      <c r="J408">
        <f t="shared" si="38"/>
        <v>31</v>
      </c>
      <c r="K408">
        <f t="shared" si="39"/>
        <v>238294.06451612903</v>
      </c>
      <c r="L408">
        <f t="shared" si="40"/>
        <v>31</v>
      </c>
      <c r="M408">
        <f t="shared" si="41"/>
        <v>238294.06451612903</v>
      </c>
      <c r="O408" s="15"/>
      <c r="P408" s="15"/>
    </row>
    <row r="409" spans="1:16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 cm="1">
        <f t="array" ref="E409">_xlfn.XLOOKUP(1, (Лист1!$A409=Лист2!$A$2:$A$505)*(Лист1!$B409=Лист2!$B$2:$B$505),Лист2!$C$2:$C$505)</f>
        <v>10</v>
      </c>
      <c r="F409" s="7" cm="1">
        <f t="array" ref="F409">_xlfn.XLOOKUP(1, (Лист1!$A409=Лист2!$A$2:$A$505)*(Лист1!$B409=Лист2!$B$2:$B$505),Лист2!$D$2:$D$505)</f>
        <v>645</v>
      </c>
      <c r="G409" s="7" cm="1">
        <f t="array" ref="G409">_xlfn.XLOOKUP(1, (Лист1!$A409=Лист2!$A$2:$A$505)*(Лист1!$B409=Лист2!$B$2:$B$505),Лист2!$E$2:$E$505)</f>
        <v>565</v>
      </c>
      <c r="H409">
        <f t="shared" si="36"/>
        <v>93642.75</v>
      </c>
      <c r="I409">
        <f t="shared" si="37"/>
        <v>21</v>
      </c>
      <c r="J409">
        <f t="shared" si="38"/>
        <v>10</v>
      </c>
      <c r="K409">
        <f t="shared" si="39"/>
        <v>93642.75</v>
      </c>
      <c r="L409">
        <f t="shared" si="40"/>
        <v>10</v>
      </c>
      <c r="M409">
        <f t="shared" si="41"/>
        <v>93642.75</v>
      </c>
      <c r="O409" s="15"/>
      <c r="P409" s="15"/>
    </row>
    <row r="410" spans="1:16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 cm="1">
        <f t="array" ref="E410">_xlfn.XLOOKUP(1, (Лист1!$A410=Лист2!$A$2:$A$505)*(Лист1!$B410=Лист2!$B$2:$B$505),Лист2!$C$2:$C$505)</f>
        <v>10</v>
      </c>
      <c r="F410" s="7" cm="1">
        <f t="array" ref="F410">_xlfn.XLOOKUP(1, (Лист1!$A410=Лист2!$A$2:$A$505)*(Лист1!$B410=Лист2!$B$2:$B$505),Лист2!$D$2:$D$505)</f>
        <v>627</v>
      </c>
      <c r="G410" s="7" cm="1">
        <f t="array" ref="G410">_xlfn.XLOOKUP(1, (Лист1!$A410=Лист2!$A$2:$A$505)*(Лист1!$B410=Лист2!$B$2:$B$505),Лист2!$E$2:$E$505)</f>
        <v>545</v>
      </c>
      <c r="H410">
        <f t="shared" si="36"/>
        <v>98156.4</v>
      </c>
      <c r="I410">
        <f t="shared" si="37"/>
        <v>20</v>
      </c>
      <c r="J410">
        <f t="shared" si="38"/>
        <v>10</v>
      </c>
      <c r="K410">
        <f t="shared" si="39"/>
        <v>98156.4</v>
      </c>
      <c r="L410">
        <f t="shared" si="40"/>
        <v>10</v>
      </c>
      <c r="M410">
        <f t="shared" si="41"/>
        <v>98156.4</v>
      </c>
      <c r="O410" s="15"/>
      <c r="P410" s="15"/>
    </row>
    <row r="411" spans="1:16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 cm="1">
        <f t="array" ref="E411">_xlfn.XLOOKUP(1, (Лист1!$A411=Лист2!$A$2:$A$505)*(Лист1!$B411=Лист2!$B$2:$B$505),Лист2!$C$2:$C$505)</f>
        <v>10</v>
      </c>
      <c r="F411" s="7" cm="1">
        <f t="array" ref="F411">_xlfn.XLOOKUP(1, (Лист1!$A411=Лист2!$A$2:$A$505)*(Лист1!$B411=Лист2!$B$2:$B$505),Лист2!$D$2:$D$505)</f>
        <v>743</v>
      </c>
      <c r="G411" s="7" cm="1">
        <f t="array" ref="G411">_xlfn.XLOOKUP(1, (Лист1!$A411=Лист2!$A$2:$A$505)*(Лист1!$B411=Лист2!$B$2:$B$505),Лист2!$E$2:$E$505)</f>
        <v>652</v>
      </c>
      <c r="H411">
        <f t="shared" si="36"/>
        <v>115057.95</v>
      </c>
      <c r="I411">
        <f t="shared" si="37"/>
        <v>20</v>
      </c>
      <c r="J411">
        <f t="shared" si="38"/>
        <v>10</v>
      </c>
      <c r="K411">
        <f t="shared" si="39"/>
        <v>115057.95</v>
      </c>
      <c r="L411">
        <f t="shared" si="40"/>
        <v>10</v>
      </c>
      <c r="M411">
        <f t="shared" si="41"/>
        <v>115057.95</v>
      </c>
      <c r="O411" s="15"/>
      <c r="P411" s="15"/>
    </row>
    <row r="412" spans="1:16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 cm="1">
        <f t="array" ref="E412">_xlfn.XLOOKUP(1, (Лист1!$A412=Лист2!$A$2:$A$505)*(Лист1!$B412=Лист2!$B$2:$B$505),Лист2!$C$2:$C$505)</f>
        <v>10</v>
      </c>
      <c r="F412" s="7" cm="1">
        <f t="array" ref="F412">_xlfn.XLOOKUP(1, (Лист1!$A412=Лист2!$A$2:$A$505)*(Лист1!$B412=Лист2!$B$2:$B$505),Лист2!$D$2:$D$505)</f>
        <v>873</v>
      </c>
      <c r="G412" s="7" cm="1">
        <f t="array" ref="G412">_xlfn.XLOOKUP(1, (Лист1!$A412=Лист2!$A$2:$A$505)*(Лист1!$B412=Лист2!$B$2:$B$505),Лист2!$E$2:$E$505)</f>
        <v>770</v>
      </c>
      <c r="H412">
        <f t="shared" si="36"/>
        <v>127346.4</v>
      </c>
      <c r="I412">
        <f t="shared" si="37"/>
        <v>22</v>
      </c>
      <c r="J412">
        <f t="shared" si="38"/>
        <v>10</v>
      </c>
      <c r="K412">
        <f t="shared" si="39"/>
        <v>127346.4</v>
      </c>
      <c r="L412">
        <f t="shared" si="40"/>
        <v>10</v>
      </c>
      <c r="M412">
        <f t="shared" si="41"/>
        <v>127346.4</v>
      </c>
      <c r="O412" s="15"/>
      <c r="P412" s="15"/>
    </row>
    <row r="413" spans="1:16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 cm="1">
        <f t="array" ref="E413">_xlfn.XLOOKUP(1, (Лист1!$A413=Лист2!$A$2:$A$505)*(Лист1!$B413=Лист2!$B$2:$B$505),Лист2!$C$2:$C$505)</f>
        <v>20</v>
      </c>
      <c r="F413" s="7" cm="1">
        <f t="array" ref="F413">_xlfn.XLOOKUP(1, (Лист1!$A413=Лист2!$A$2:$A$505)*(Лист1!$B413=Лист2!$B$2:$B$505),Лист2!$D$2:$D$505)</f>
        <v>2079</v>
      </c>
      <c r="G413" s="7" cm="1">
        <f t="array" ref="G413">_xlfn.XLOOKUP(1, (Лист1!$A413=Лист2!$A$2:$A$505)*(Лист1!$B413=Лист2!$B$2:$B$505),Лист2!$E$2:$E$505)</f>
        <v>1856</v>
      </c>
      <c r="H413">
        <f t="shared" si="36"/>
        <v>146206.65</v>
      </c>
      <c r="I413">
        <f t="shared" si="37"/>
        <v>22</v>
      </c>
      <c r="J413">
        <f t="shared" si="38"/>
        <v>20</v>
      </c>
      <c r="K413">
        <f t="shared" si="39"/>
        <v>146206.65</v>
      </c>
      <c r="L413">
        <f t="shared" si="40"/>
        <v>19.228571428571428</v>
      </c>
      <c r="M413">
        <f t="shared" si="41"/>
        <v>152072.29569093612</v>
      </c>
      <c r="O413" s="15"/>
      <c r="P413" s="15"/>
    </row>
    <row r="414" spans="1:16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 cm="1">
        <f t="array" ref="E414">_xlfn.XLOOKUP(1, (Лист1!$A414=Лист2!$A$2:$A$505)*(Лист1!$B414=Лист2!$B$2:$B$505),Лист2!$C$2:$C$505)</f>
        <v>20</v>
      </c>
      <c r="F414" s="7" cm="1">
        <f t="array" ref="F414">_xlfn.XLOOKUP(1, (Лист1!$A414=Лист2!$A$2:$A$505)*(Лист1!$B414=Лист2!$B$2:$B$505),Лист2!$D$2:$D$505)</f>
        <v>2306</v>
      </c>
      <c r="G414" s="7" cm="1">
        <f t="array" ref="G414">_xlfn.XLOOKUP(1, (Лист1!$A414=Лист2!$A$2:$A$505)*(Лист1!$B414=Лист2!$B$2:$B$505),Лист2!$E$2:$E$505)</f>
        <v>2054</v>
      </c>
      <c r="H414">
        <f t="shared" si="36"/>
        <v>170709</v>
      </c>
      <c r="I414">
        <f t="shared" si="37"/>
        <v>21</v>
      </c>
      <c r="J414">
        <f t="shared" si="38"/>
        <v>19.428571428571427</v>
      </c>
      <c r="K414">
        <f t="shared" si="39"/>
        <v>175729.85294117648</v>
      </c>
      <c r="L414">
        <f t="shared" si="40"/>
        <v>19.228571428571428</v>
      </c>
      <c r="M414">
        <f t="shared" si="41"/>
        <v>177557.65230312035</v>
      </c>
      <c r="O414" s="15"/>
      <c r="P414" s="15"/>
    </row>
    <row r="415" spans="1:16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 cm="1">
        <f t="array" ref="E415">_xlfn.XLOOKUP(1, (Лист1!$A415=Лист2!$A$2:$A$505)*(Лист1!$B415=Лист2!$B$2:$B$505),Лист2!$C$2:$C$505)</f>
        <v>20</v>
      </c>
      <c r="F415" s="7" cm="1">
        <f t="array" ref="F415">_xlfn.XLOOKUP(1, (Лист1!$A415=Лист2!$A$2:$A$505)*(Лист1!$B415=Лист2!$B$2:$B$505),Лист2!$D$2:$D$505)</f>
        <v>2136</v>
      </c>
      <c r="G415" s="7" cm="1">
        <f t="array" ref="G415">_xlfn.XLOOKUP(1, (Лист1!$A415=Лист2!$A$2:$A$505)*(Лист1!$B415=Лист2!$B$2:$B$505),Лист2!$E$2:$E$505)</f>
        <v>1899</v>
      </c>
      <c r="H415">
        <f t="shared" si="36"/>
        <v>150675.6</v>
      </c>
      <c r="I415">
        <f t="shared" si="37"/>
        <v>23</v>
      </c>
      <c r="J415">
        <f t="shared" si="38"/>
        <v>20</v>
      </c>
      <c r="K415">
        <f t="shared" si="39"/>
        <v>150675.6</v>
      </c>
      <c r="L415">
        <f t="shared" si="40"/>
        <v>19.228571428571428</v>
      </c>
      <c r="M415">
        <f t="shared" si="41"/>
        <v>156720.53491827639</v>
      </c>
      <c r="O415" s="15"/>
      <c r="P415" s="15"/>
    </row>
    <row r="416" spans="1:16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 cm="1">
        <f t="array" ref="E416">_xlfn.XLOOKUP(1, (Лист1!$A416=Лист2!$A$2:$A$505)*(Лист1!$B416=Лист2!$B$2:$B$505),Лист2!$C$2:$C$505)</f>
        <v>19</v>
      </c>
      <c r="F416" s="7" cm="1">
        <f t="array" ref="F416">_xlfn.XLOOKUP(1, (Лист1!$A416=Лист2!$A$2:$A$505)*(Лист1!$B416=Лист2!$B$2:$B$505),Лист2!$D$2:$D$505)</f>
        <v>2530</v>
      </c>
      <c r="G416" s="7" cm="1">
        <f t="array" ref="G416">_xlfn.XLOOKUP(1, (Лист1!$A416=Лист2!$A$2:$A$505)*(Лист1!$B416=Лист2!$B$2:$B$505),Лист2!$E$2:$E$505)</f>
        <v>2270</v>
      </c>
      <c r="H416">
        <f t="shared" si="36"/>
        <v>205893.63157894736</v>
      </c>
      <c r="I416">
        <f t="shared" si="37"/>
        <v>20</v>
      </c>
      <c r="J416">
        <f t="shared" si="38"/>
        <v>19</v>
      </c>
      <c r="K416">
        <f t="shared" si="39"/>
        <v>205893.63157894736</v>
      </c>
      <c r="L416">
        <f t="shared" si="40"/>
        <v>19.228571428571428</v>
      </c>
      <c r="M416">
        <f t="shared" si="41"/>
        <v>203446.15898959883</v>
      </c>
      <c r="O416" s="15"/>
      <c r="P416" s="15"/>
    </row>
    <row r="417" spans="1:16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 cm="1">
        <f t="array" ref="E417">_xlfn.XLOOKUP(1, (Лист1!$A417=Лист2!$A$2:$A$505)*(Лист1!$B417=Лист2!$B$2:$B$505),Лист2!$C$2:$C$505)</f>
        <v>19</v>
      </c>
      <c r="F417" s="7" cm="1">
        <f t="array" ref="F417">_xlfn.XLOOKUP(1, (Лист1!$A417=Лист2!$A$2:$A$505)*(Лист1!$B417=Лист2!$B$2:$B$505),Лист2!$D$2:$D$505)</f>
        <v>1858</v>
      </c>
      <c r="G417" s="7" cm="1">
        <f t="array" ref="G417">_xlfn.XLOOKUP(1, (Лист1!$A417=Лист2!$A$2:$A$505)*(Лист1!$B417=Лист2!$B$2:$B$505),Лист2!$E$2:$E$505)</f>
        <v>1648</v>
      </c>
      <c r="H417">
        <f t="shared" si="36"/>
        <v>136218.31578947368</v>
      </c>
      <c r="I417">
        <f t="shared" si="37"/>
        <v>21</v>
      </c>
      <c r="J417">
        <f t="shared" si="38"/>
        <v>19.428571428571427</v>
      </c>
      <c r="K417">
        <f t="shared" si="39"/>
        <v>133213.5</v>
      </c>
      <c r="L417">
        <f t="shared" si="40"/>
        <v>19.228571428571428</v>
      </c>
      <c r="M417">
        <f t="shared" si="41"/>
        <v>134599.07875185736</v>
      </c>
      <c r="O417" s="15"/>
      <c r="P417" s="15"/>
    </row>
    <row r="418" spans="1:16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 cm="1">
        <f t="array" ref="E418">_xlfn.XLOOKUP(1, (Лист1!$A418=Лист2!$A$2:$A$505)*(Лист1!$B418=Лист2!$B$2:$B$505),Лист2!$C$2:$C$505)</f>
        <v>19</v>
      </c>
      <c r="F418" s="7" cm="1">
        <f t="array" ref="F418">_xlfn.XLOOKUP(1, (Лист1!$A418=Лист2!$A$2:$A$505)*(Лист1!$B418=Лист2!$B$2:$B$505),Лист2!$D$2:$D$505)</f>
        <v>1675</v>
      </c>
      <c r="G418" s="7" cm="1">
        <f t="array" ref="G418">_xlfn.XLOOKUP(1, (Лист1!$A418=Лист2!$A$2:$A$505)*(Лист1!$B418=Лист2!$B$2:$B$505),Лист2!$E$2:$E$505)</f>
        <v>1475</v>
      </c>
      <c r="H418">
        <f t="shared" si="36"/>
        <v>128501.05263157895</v>
      </c>
      <c r="I418">
        <f t="shared" si="37"/>
        <v>20</v>
      </c>
      <c r="J418">
        <f t="shared" si="38"/>
        <v>19</v>
      </c>
      <c r="K418">
        <f t="shared" si="39"/>
        <v>128501.05263157895</v>
      </c>
      <c r="L418">
        <f t="shared" si="40"/>
        <v>19.228571428571428</v>
      </c>
      <c r="M418">
        <f t="shared" si="41"/>
        <v>126973.55126300149</v>
      </c>
      <c r="O418" s="15"/>
      <c r="P418" s="15"/>
    </row>
    <row r="419" spans="1:16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 cm="1">
        <f t="array" ref="E419">_xlfn.XLOOKUP(1, (Лист1!$A419=Лист2!$A$2:$A$505)*(Лист1!$B419=Лист2!$B$2:$B$505),Лист2!$C$2:$C$505)</f>
        <v>19</v>
      </c>
      <c r="F419" s="7" cm="1">
        <f t="array" ref="F419">_xlfn.XLOOKUP(1, (Лист1!$A419=Лист2!$A$2:$A$505)*(Лист1!$B419=Лист2!$B$2:$B$505),Лист2!$D$2:$D$505)</f>
        <v>1940</v>
      </c>
      <c r="G419" s="7" cm="1">
        <f t="array" ref="G419">_xlfn.XLOOKUP(1, (Лист1!$A419=Лист2!$A$2:$A$505)*(Лист1!$B419=Лист2!$B$2:$B$505),Лист2!$E$2:$E$505)</f>
        <v>1715</v>
      </c>
      <c r="H419">
        <f t="shared" si="36"/>
        <v>155214.63157894736</v>
      </c>
      <c r="I419">
        <f t="shared" si="37"/>
        <v>20</v>
      </c>
      <c r="J419">
        <f t="shared" si="38"/>
        <v>19</v>
      </c>
      <c r="K419">
        <f t="shared" si="39"/>
        <v>155214.63157894736</v>
      </c>
      <c r="L419">
        <f t="shared" si="40"/>
        <v>19.228571428571428</v>
      </c>
      <c r="M419">
        <f t="shared" si="41"/>
        <v>153369.58395245171</v>
      </c>
      <c r="O419" s="15"/>
      <c r="P419" s="15"/>
    </row>
    <row r="420" spans="1:16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 cm="1">
        <f t="array" ref="E420">_xlfn.XLOOKUP(1, (Лист1!$A420=Лист2!$A$2:$A$505)*(Лист1!$B420=Лист2!$B$2:$B$505),Лист2!$C$2:$C$505)</f>
        <v>20</v>
      </c>
      <c r="F420" s="7" cm="1">
        <f t="array" ref="F420">_xlfn.XLOOKUP(1, (Лист1!$A420=Лист2!$A$2:$A$505)*(Лист1!$B420=Лист2!$B$2:$B$505),Лист2!$D$2:$D$505)</f>
        <v>2249</v>
      </c>
      <c r="G420" s="7" cm="1">
        <f t="array" ref="G420">_xlfn.XLOOKUP(1, (Лист1!$A420=Лист2!$A$2:$A$505)*(Лист1!$B420=Лист2!$B$2:$B$505),Лист2!$E$2:$E$505)</f>
        <v>2000</v>
      </c>
      <c r="H420">
        <f t="shared" si="36"/>
        <v>162902.70000000001</v>
      </c>
      <c r="I420">
        <f t="shared" si="37"/>
        <v>22</v>
      </c>
      <c r="J420">
        <f t="shared" si="38"/>
        <v>20</v>
      </c>
      <c r="K420">
        <f t="shared" si="39"/>
        <v>162902.70000000001</v>
      </c>
      <c r="L420">
        <f t="shared" si="40"/>
        <v>19.228571428571428</v>
      </c>
      <c r="M420">
        <f t="shared" si="41"/>
        <v>169438.17236255572</v>
      </c>
      <c r="O420" s="15"/>
      <c r="P420" s="15"/>
    </row>
    <row r="421" spans="1:16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 cm="1">
        <f t="array" ref="E421">_xlfn.XLOOKUP(1, (Лист1!$A421=Лист2!$A$2:$A$505)*(Лист1!$B421=Лист2!$B$2:$B$505),Лист2!$C$2:$C$505)</f>
        <v>129</v>
      </c>
      <c r="F421" s="7" cm="1">
        <f t="array" ref="F421">_xlfn.XLOOKUP(1, (Лист1!$A421=Лист2!$A$2:$A$505)*(Лист1!$B421=Лист2!$B$2:$B$505),Лист2!$D$2:$D$505)</f>
        <v>17115</v>
      </c>
      <c r="G421" s="7" cm="1">
        <f t="array" ref="G421">_xlfn.XLOOKUP(1, (Лист1!$A421=Лист2!$A$2:$A$505)*(Лист1!$B421=Лист2!$B$2:$B$505),Лист2!$E$2:$E$505)</f>
        <v>15962</v>
      </c>
      <c r="H421">
        <f t="shared" si="36"/>
        <v>226798.39534883722</v>
      </c>
      <c r="I421">
        <f t="shared" si="37"/>
        <v>22</v>
      </c>
      <c r="J421">
        <f t="shared" si="38"/>
        <v>129</v>
      </c>
      <c r="K421">
        <f t="shared" si="39"/>
        <v>226798.39534883722</v>
      </c>
      <c r="L421">
        <f t="shared" si="40"/>
        <v>128.91428571428571</v>
      </c>
      <c r="M421">
        <f t="shared" si="41"/>
        <v>226949.19215425532</v>
      </c>
      <c r="O421" s="15"/>
      <c r="P421" s="15"/>
    </row>
    <row r="422" spans="1:16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 cm="1">
        <f t="array" ref="E422">_xlfn.XLOOKUP(1, (Лист1!$A422=Лист2!$A$2:$A$505)*(Лист1!$B422=Лист2!$B$2:$B$505),Лист2!$C$2:$C$505)</f>
        <v>129</v>
      </c>
      <c r="F422" s="7" cm="1">
        <f t="array" ref="F422">_xlfn.XLOOKUP(1, (Лист1!$A422=Лист2!$A$2:$A$505)*(Лист1!$B422=Лист2!$B$2:$B$505),Лист2!$D$2:$D$505)</f>
        <v>17088</v>
      </c>
      <c r="G422" s="7" cm="1">
        <f t="array" ref="G422">_xlfn.XLOOKUP(1, (Лист1!$A422=Лист2!$A$2:$A$505)*(Лист1!$B422=Лист2!$B$2:$B$505),Лист2!$E$2:$E$505)</f>
        <v>15804</v>
      </c>
      <c r="H422">
        <f t="shared" si="36"/>
        <v>228416.81395348837</v>
      </c>
      <c r="I422">
        <f t="shared" si="37"/>
        <v>21</v>
      </c>
      <c r="J422">
        <f t="shared" si="38"/>
        <v>129</v>
      </c>
      <c r="K422">
        <f t="shared" si="39"/>
        <v>228416.81395348837</v>
      </c>
      <c r="L422">
        <f t="shared" si="40"/>
        <v>128.91428571428571</v>
      </c>
      <c r="M422">
        <f t="shared" si="41"/>
        <v>228568.68683510637</v>
      </c>
      <c r="O422" s="15"/>
      <c r="P422" s="15"/>
    </row>
    <row r="423" spans="1:16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 cm="1">
        <f t="array" ref="E423">_xlfn.XLOOKUP(1, (Лист1!$A423=Лист2!$A$2:$A$505)*(Лист1!$B423=Лист2!$B$2:$B$505),Лист2!$C$2:$C$505)</f>
        <v>128</v>
      </c>
      <c r="F423" s="7" cm="1">
        <f t="array" ref="F423">_xlfn.XLOOKUP(1, (Лист1!$A423=Лист2!$A$2:$A$505)*(Лист1!$B423=Лист2!$B$2:$B$505),Лист2!$D$2:$D$505)</f>
        <v>16285</v>
      </c>
      <c r="G423" s="7" cm="1">
        <f t="array" ref="G423">_xlfn.XLOOKUP(1, (Лист1!$A423=Лист2!$A$2:$A$505)*(Лист1!$B423=Лист2!$B$2:$B$505),Лист2!$E$2:$E$505)</f>
        <v>15130</v>
      </c>
      <c r="H423">
        <f t="shared" si="36"/>
        <v>216953.84765625</v>
      </c>
      <c r="I423">
        <f t="shared" si="37"/>
        <v>23</v>
      </c>
      <c r="J423">
        <f t="shared" si="38"/>
        <v>128</v>
      </c>
      <c r="K423">
        <f t="shared" si="39"/>
        <v>216953.84765625</v>
      </c>
      <c r="L423">
        <f t="shared" si="40"/>
        <v>128.91428571428571</v>
      </c>
      <c r="M423">
        <f t="shared" si="41"/>
        <v>215415.16788563831</v>
      </c>
      <c r="O423" s="15"/>
      <c r="P423" s="15"/>
    </row>
    <row r="424" spans="1:16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 cm="1">
        <f t="array" ref="E424">_xlfn.XLOOKUP(1, (Лист1!$A424=Лист2!$A$2:$A$505)*(Лист1!$B424=Лист2!$B$2:$B$505),Лист2!$C$2:$C$505)</f>
        <v>129</v>
      </c>
      <c r="F424" s="7" cm="1">
        <f t="array" ref="F424">_xlfn.XLOOKUP(1, (Лист1!$A424=Лист2!$A$2:$A$505)*(Лист1!$B424=Лист2!$B$2:$B$505),Лист2!$D$2:$D$505)</f>
        <v>14043</v>
      </c>
      <c r="G424" s="7" cm="1">
        <f t="array" ref="G424">_xlfn.XLOOKUP(1, (Лист1!$A424=Лист2!$A$2:$A$505)*(Лист1!$B424=Лист2!$B$2:$B$505),Лист2!$E$2:$E$505)</f>
        <v>13167</v>
      </c>
      <c r="H424">
        <f t="shared" si="36"/>
        <v>190916.53661976743</v>
      </c>
      <c r="I424">
        <f t="shared" si="37"/>
        <v>20</v>
      </c>
      <c r="J424">
        <f t="shared" si="38"/>
        <v>129</v>
      </c>
      <c r="K424">
        <f t="shared" si="39"/>
        <v>190916.53661976743</v>
      </c>
      <c r="L424">
        <f t="shared" si="40"/>
        <v>128.91428571428571</v>
      </c>
      <c r="M424">
        <f t="shared" si="41"/>
        <v>191043.47580634971</v>
      </c>
      <c r="O424" s="15"/>
      <c r="P424" s="15"/>
    </row>
    <row r="425" spans="1:16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 cm="1">
        <f t="array" ref="E425">_xlfn.XLOOKUP(1, (Лист1!$A425=Лист2!$A$2:$A$505)*(Лист1!$B425=Лист2!$B$2:$B$505),Лист2!$C$2:$C$505)</f>
        <v>129</v>
      </c>
      <c r="F425" s="7" cm="1">
        <f t="array" ref="F425">_xlfn.XLOOKUP(1, (Лист1!$A425=Лист2!$A$2:$A$505)*(Лист1!$B425=Лист2!$B$2:$B$505),Лист2!$D$2:$D$505)</f>
        <v>16110</v>
      </c>
      <c r="G425" s="7" cm="1">
        <f t="array" ref="G425">_xlfn.XLOOKUP(1, (Лист1!$A425=Лист2!$A$2:$A$505)*(Лист1!$B425=Лист2!$B$2:$B$505),Лист2!$E$2:$E$505)</f>
        <v>14992</v>
      </c>
      <c r="H425">
        <f t="shared" si="36"/>
        <v>213451.81509767444</v>
      </c>
      <c r="I425">
        <f t="shared" si="37"/>
        <v>21</v>
      </c>
      <c r="J425">
        <f t="shared" si="38"/>
        <v>129</v>
      </c>
      <c r="K425">
        <f t="shared" si="39"/>
        <v>213451.81509767444</v>
      </c>
      <c r="L425">
        <f t="shared" si="40"/>
        <v>128.91428571428571</v>
      </c>
      <c r="M425">
        <f t="shared" si="41"/>
        <v>213593.73784707449</v>
      </c>
      <c r="O425" s="15"/>
      <c r="P425" s="15"/>
    </row>
    <row r="426" spans="1:16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 cm="1">
        <f t="array" ref="E426">_xlfn.XLOOKUP(1, (Лист1!$A426=Лист2!$A$2:$A$505)*(Лист1!$B426=Лист2!$B$2:$B$505),Лист2!$C$2:$C$505)</f>
        <v>129</v>
      </c>
      <c r="F426" s="7" cm="1">
        <f t="array" ref="F426">_xlfn.XLOOKUP(1, (Лист1!$A426=Лист2!$A$2:$A$505)*(Лист1!$B426=Лист2!$B$2:$B$505),Лист2!$D$2:$D$505)</f>
        <v>15804</v>
      </c>
      <c r="G426" s="7" cm="1">
        <f t="array" ref="G426">_xlfn.XLOOKUP(1, (Лист1!$A426=Лист2!$A$2:$A$505)*(Лист1!$B426=Лист2!$B$2:$B$505),Лист2!$E$2:$E$505)</f>
        <v>14738</v>
      </c>
      <c r="H426">
        <f t="shared" si="36"/>
        <v>218459.62790697673</v>
      </c>
      <c r="I426">
        <f t="shared" si="37"/>
        <v>20</v>
      </c>
      <c r="J426">
        <f t="shared" si="38"/>
        <v>129</v>
      </c>
      <c r="K426">
        <f t="shared" si="39"/>
        <v>218459.62790697673</v>
      </c>
      <c r="L426">
        <f t="shared" si="40"/>
        <v>128.91428571428571</v>
      </c>
      <c r="M426">
        <f t="shared" si="41"/>
        <v>218604.88031914894</v>
      </c>
      <c r="O426" s="15"/>
      <c r="P426" s="15"/>
    </row>
    <row r="427" spans="1:16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 cm="1">
        <f t="array" ref="E427">_xlfn.XLOOKUP(1, (Лист1!$A427=Лист2!$A$2:$A$505)*(Лист1!$B427=Лист2!$B$2:$B$505),Лист2!$C$2:$C$505)</f>
        <v>129</v>
      </c>
      <c r="F427" s="7" cm="1">
        <f t="array" ref="F427">_xlfn.XLOOKUP(1, (Лист1!$A427=Лист2!$A$2:$A$505)*(Лист1!$B427=Лист2!$B$2:$B$505),Лист2!$D$2:$D$505)</f>
        <v>17808</v>
      </c>
      <c r="G427" s="7" cm="1">
        <f t="array" ref="G427">_xlfn.XLOOKUP(1, (Лист1!$A427=Лист2!$A$2:$A$505)*(Лист1!$B427=Лист2!$B$2:$B$505),Лист2!$E$2:$E$505)</f>
        <v>16486</v>
      </c>
      <c r="H427">
        <f t="shared" si="36"/>
        <v>250808.76744186046</v>
      </c>
      <c r="I427">
        <f t="shared" si="37"/>
        <v>20</v>
      </c>
      <c r="J427">
        <f t="shared" si="38"/>
        <v>129</v>
      </c>
      <c r="K427">
        <f t="shared" si="39"/>
        <v>250808.76744186046</v>
      </c>
      <c r="L427">
        <f t="shared" si="40"/>
        <v>128.91428571428571</v>
      </c>
      <c r="M427">
        <f t="shared" si="41"/>
        <v>250975.52859042553</v>
      </c>
      <c r="O427" s="15"/>
      <c r="P427" s="15"/>
    </row>
    <row r="428" spans="1:16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 cm="1">
        <f t="array" ref="E428">_xlfn.XLOOKUP(1, (Лист1!$A428=Лист2!$A$2:$A$505)*(Лист1!$B428=Лист2!$B$2:$B$505),Лист2!$C$2:$C$505)</f>
        <v>124</v>
      </c>
      <c r="F428" s="7" cm="1">
        <f t="array" ref="F428">_xlfn.XLOOKUP(1, (Лист1!$A428=Лист2!$A$2:$A$505)*(Лист1!$B428=Лист2!$B$2:$B$505),Лист2!$D$2:$D$505)</f>
        <v>21384</v>
      </c>
      <c r="G428" s="7" cm="1">
        <f t="array" ref="G428">_xlfn.XLOOKUP(1, (Лист1!$A428=Лист2!$A$2:$A$505)*(Лист1!$B428=Лист2!$B$2:$B$505),Лист2!$E$2:$E$505)</f>
        <v>19897</v>
      </c>
      <c r="H428">
        <f t="shared" si="36"/>
        <v>314797.2701612903</v>
      </c>
      <c r="I428">
        <f t="shared" si="37"/>
        <v>22</v>
      </c>
      <c r="J428">
        <f t="shared" si="38"/>
        <v>124</v>
      </c>
      <c r="K428">
        <f t="shared" si="39"/>
        <v>314797.2701612903</v>
      </c>
      <c r="L428">
        <f t="shared" si="40"/>
        <v>124.74285714285715</v>
      </c>
      <c r="M428">
        <f t="shared" si="41"/>
        <v>312922.61852954648</v>
      </c>
      <c r="O428" s="15"/>
      <c r="P428" s="15"/>
    </row>
    <row r="429" spans="1:16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 cm="1">
        <f t="array" ref="E429">_xlfn.XLOOKUP(1, (Лист1!$A429=Лист2!$A$2:$A$505)*(Лист1!$B429=Лист2!$B$2:$B$505),Лист2!$C$2:$C$505)</f>
        <v>125</v>
      </c>
      <c r="F429" s="7" cm="1">
        <f t="array" ref="F429">_xlfn.XLOOKUP(1, (Лист1!$A429=Лист2!$A$2:$A$505)*(Лист1!$B429=Лист2!$B$2:$B$505),Лист2!$D$2:$D$505)</f>
        <v>21427</v>
      </c>
      <c r="G429" s="7" cm="1">
        <f t="array" ref="G429">_xlfn.XLOOKUP(1, (Лист1!$A429=Лист2!$A$2:$A$505)*(Лист1!$B429=Лист2!$B$2:$B$505),Лист2!$E$2:$E$505)</f>
        <v>19799</v>
      </c>
      <c r="H429">
        <f t="shared" si="36"/>
        <v>315986.98800000001</v>
      </c>
      <c r="I429">
        <f t="shared" si="37"/>
        <v>21</v>
      </c>
      <c r="J429">
        <f t="shared" si="38"/>
        <v>125</v>
      </c>
      <c r="K429">
        <f t="shared" si="39"/>
        <v>315986.98800000001</v>
      </c>
      <c r="L429">
        <f t="shared" si="40"/>
        <v>124.74285714285715</v>
      </c>
      <c r="M429">
        <f t="shared" si="41"/>
        <v>316638.35833715071</v>
      </c>
      <c r="O429" s="15"/>
      <c r="P429" s="15"/>
    </row>
    <row r="430" spans="1:16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 cm="1">
        <f t="array" ref="E430">_xlfn.XLOOKUP(1, (Лист1!$A430=Лист2!$A$2:$A$505)*(Лист1!$B430=Лист2!$B$2:$B$505),Лист2!$C$2:$C$505)</f>
        <v>123</v>
      </c>
      <c r="F430" s="7" cm="1">
        <f t="array" ref="F430">_xlfn.XLOOKUP(1, (Лист1!$A430=Лист2!$A$2:$A$505)*(Лист1!$B430=Лист2!$B$2:$B$505),Лист2!$D$2:$D$505)</f>
        <v>20325</v>
      </c>
      <c r="G430" s="7" cm="1">
        <f t="array" ref="G430">_xlfn.XLOOKUP(1, (Лист1!$A430=Лист2!$A$2:$A$505)*(Лист1!$B430=Лист2!$B$2:$B$505),Лист2!$E$2:$E$505)</f>
        <v>18935</v>
      </c>
      <c r="H430">
        <f t="shared" si="36"/>
        <v>302909.26976707316</v>
      </c>
      <c r="I430">
        <f t="shared" si="37"/>
        <v>23</v>
      </c>
      <c r="J430">
        <f t="shared" si="38"/>
        <v>123</v>
      </c>
      <c r="K430">
        <f t="shared" si="39"/>
        <v>302909.26976707316</v>
      </c>
      <c r="L430">
        <f t="shared" si="40"/>
        <v>124.74285714285715</v>
      </c>
      <c r="M430">
        <f t="shared" si="41"/>
        <v>298677.14300211862</v>
      </c>
      <c r="O430" s="15"/>
      <c r="P430" s="15"/>
    </row>
    <row r="431" spans="1:16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 cm="1">
        <f t="array" ref="E431">_xlfn.XLOOKUP(1, (Лист1!$A431=Лист2!$A$2:$A$505)*(Лист1!$B431=Лист2!$B$2:$B$505),Лист2!$C$2:$C$505)</f>
        <v>125</v>
      </c>
      <c r="F431" s="7" cm="1">
        <f t="array" ref="F431">_xlfn.XLOOKUP(1, (Лист1!$A431=Лист2!$A$2:$A$505)*(Лист1!$B431=Лист2!$B$2:$B$505),Лист2!$D$2:$D$505)</f>
        <v>18066</v>
      </c>
      <c r="G431" s="7" cm="1">
        <f t="array" ref="G431">_xlfn.XLOOKUP(1, (Лист1!$A431=Лист2!$A$2:$A$505)*(Лист1!$B431=Лист2!$B$2:$B$505),Лист2!$E$2:$E$505)</f>
        <v>16883</v>
      </c>
      <c r="H431">
        <f t="shared" si="36"/>
        <v>270252.64799999999</v>
      </c>
      <c r="I431">
        <f t="shared" si="37"/>
        <v>20</v>
      </c>
      <c r="J431">
        <f t="shared" si="38"/>
        <v>125</v>
      </c>
      <c r="K431">
        <f t="shared" si="39"/>
        <v>270252.64799999999</v>
      </c>
      <c r="L431">
        <f t="shared" si="40"/>
        <v>124.74285714285715</v>
      </c>
      <c r="M431">
        <f t="shared" si="41"/>
        <v>270809.74232707283</v>
      </c>
      <c r="O431" s="15"/>
      <c r="P431" s="15"/>
    </row>
    <row r="432" spans="1:16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 cm="1">
        <f t="array" ref="E432">_xlfn.XLOOKUP(1, (Лист1!$A432=Лист2!$A$2:$A$505)*(Лист1!$B432=Лист2!$B$2:$B$505),Лист2!$C$2:$C$505)</f>
        <v>129</v>
      </c>
      <c r="F432" s="7" cm="1">
        <f t="array" ref="F432">_xlfn.XLOOKUP(1, (Лист1!$A432=Лист2!$A$2:$A$505)*(Лист1!$B432=Лист2!$B$2:$B$505),Лист2!$D$2:$D$505)</f>
        <v>22403</v>
      </c>
      <c r="G432" s="7" cm="1">
        <f t="array" ref="G432">_xlfn.XLOOKUP(1, (Лист1!$A432=Лист2!$A$2:$A$505)*(Лист1!$B432=Лист2!$B$2:$B$505),Лист2!$E$2:$E$505)</f>
        <v>20676</v>
      </c>
      <c r="H432">
        <f t="shared" si="36"/>
        <v>323776.27988372097</v>
      </c>
      <c r="I432">
        <f t="shared" si="37"/>
        <v>22</v>
      </c>
      <c r="J432">
        <f t="shared" si="38"/>
        <v>129</v>
      </c>
      <c r="K432">
        <f t="shared" si="39"/>
        <v>323776.27988372097</v>
      </c>
      <c r="L432">
        <f t="shared" si="40"/>
        <v>128.91428571428571</v>
      </c>
      <c r="M432">
        <f t="shared" si="41"/>
        <v>323991.55666555854</v>
      </c>
      <c r="O432" s="15"/>
      <c r="P432" s="15"/>
    </row>
    <row r="433" spans="1:16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 cm="1">
        <f t="array" ref="E433">_xlfn.XLOOKUP(1, (Лист1!$A433=Лист2!$A$2:$A$505)*(Лист1!$B433=Лист2!$B$2:$B$505),Лист2!$C$2:$C$505)</f>
        <v>125</v>
      </c>
      <c r="F433" s="7" cm="1">
        <f t="array" ref="F433">_xlfn.XLOOKUP(1, (Лист1!$A433=Лист2!$A$2:$A$505)*(Лист1!$B433=Лист2!$B$2:$B$505),Лист2!$D$2:$D$505)</f>
        <v>20449</v>
      </c>
      <c r="G433" s="7" cm="1">
        <f t="array" ref="G433">_xlfn.XLOOKUP(1, (Лист1!$A433=Лист2!$A$2:$A$505)*(Лист1!$B433=Лист2!$B$2:$B$505),Лист2!$E$2:$E$505)</f>
        <v>19060</v>
      </c>
      <c r="H433">
        <f t="shared" si="36"/>
        <v>295015.10399999999</v>
      </c>
      <c r="I433">
        <f t="shared" si="37"/>
        <v>21</v>
      </c>
      <c r="J433">
        <f t="shared" si="38"/>
        <v>125</v>
      </c>
      <c r="K433">
        <f t="shared" si="39"/>
        <v>295015.10399999999</v>
      </c>
      <c r="L433">
        <f t="shared" si="40"/>
        <v>124.74285714285715</v>
      </c>
      <c r="M433">
        <f t="shared" si="41"/>
        <v>295623.24324324325</v>
      </c>
      <c r="O433" s="15"/>
      <c r="P433" s="15"/>
    </row>
    <row r="434" spans="1:16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 cm="1">
        <f t="array" ref="E434">_xlfn.XLOOKUP(1, (Лист1!$A434=Лист2!$A$2:$A$505)*(Лист1!$B434=Лист2!$B$2:$B$505),Лист2!$C$2:$C$505)</f>
        <v>125</v>
      </c>
      <c r="F434" s="7" cm="1">
        <f t="array" ref="F434">_xlfn.XLOOKUP(1, (Лист1!$A434=Лист2!$A$2:$A$505)*(Лист1!$B434=Лист2!$B$2:$B$505),Лист2!$D$2:$D$505)</f>
        <v>20247</v>
      </c>
      <c r="G434" s="7" cm="1">
        <f t="array" ref="G434">_xlfn.XLOOKUP(1, (Лист1!$A434=Лист2!$A$2:$A$505)*(Лист1!$B434=Лист2!$B$2:$B$505),Лист2!$E$2:$E$505)</f>
        <v>18812</v>
      </c>
      <c r="H434">
        <f t="shared" si="36"/>
        <v>303705.20400000003</v>
      </c>
      <c r="I434">
        <f t="shared" si="37"/>
        <v>20</v>
      </c>
      <c r="J434">
        <f t="shared" si="38"/>
        <v>125</v>
      </c>
      <c r="K434">
        <f t="shared" si="39"/>
        <v>303705.20400000003</v>
      </c>
      <c r="L434">
        <f t="shared" si="40"/>
        <v>124.74285714285715</v>
      </c>
      <c r="M434">
        <f t="shared" si="41"/>
        <v>304331.25687127805</v>
      </c>
      <c r="O434" s="15"/>
      <c r="P434" s="15"/>
    </row>
    <row r="435" spans="1:16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 cm="1">
        <f t="array" ref="E435">_xlfn.XLOOKUP(1, (Лист1!$A435=Лист2!$A$2:$A$505)*(Лист1!$B435=Лист2!$B$2:$B$505),Лист2!$C$2:$C$505)</f>
        <v>125</v>
      </c>
      <c r="F435" s="7" cm="1">
        <f t="array" ref="F435">_xlfn.XLOOKUP(1, (Лист1!$A435=Лист2!$A$2:$A$505)*(Лист1!$B435=Лист2!$B$2:$B$505),Лист2!$D$2:$D$505)</f>
        <v>21862</v>
      </c>
      <c r="G435" s="7" cm="1">
        <f t="array" ref="G435">_xlfn.XLOOKUP(1, (Лист1!$A435=Лист2!$A$2:$A$505)*(Лист1!$B435=Лист2!$B$2:$B$505),Лист2!$E$2:$E$505)</f>
        <v>20235</v>
      </c>
      <c r="H435">
        <f t="shared" si="36"/>
        <v>338171.016</v>
      </c>
      <c r="I435">
        <f t="shared" si="37"/>
        <v>20</v>
      </c>
      <c r="J435">
        <f t="shared" si="38"/>
        <v>125</v>
      </c>
      <c r="K435">
        <f t="shared" si="39"/>
        <v>338171.016</v>
      </c>
      <c r="L435">
        <f t="shared" si="40"/>
        <v>124.74285714285715</v>
      </c>
      <c r="M435">
        <f t="shared" si="41"/>
        <v>338868.11612459918</v>
      </c>
      <c r="O435" s="15"/>
      <c r="P435" s="15"/>
    </row>
    <row r="436" spans="1:16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 cm="1">
        <f t="array" ref="E436">_xlfn.XLOOKUP(1, (Лист1!$A436=Лист2!$A$2:$A$505)*(Лист1!$B436=Лист2!$B$2:$B$505),Лист2!$C$2:$C$505)</f>
        <v>36</v>
      </c>
      <c r="F436" s="7" cm="1">
        <f t="array" ref="F436">_xlfn.XLOOKUP(1, (Лист1!$A436=Лист2!$A$2:$A$505)*(Лист1!$B436=Лист2!$B$2:$B$505),Лист2!$D$2:$D$505)</f>
        <v>4951</v>
      </c>
      <c r="G436" s="7" cm="1">
        <f t="array" ref="G436">_xlfn.XLOOKUP(1, (Лист1!$A436=Лист2!$A$2:$A$505)*(Лист1!$B436=Лист2!$B$2:$B$505),Лист2!$E$2:$E$505)</f>
        <v>4584</v>
      </c>
      <c r="H436">
        <f t="shared" si="36"/>
        <v>166274.83333333334</v>
      </c>
      <c r="I436">
        <f t="shared" si="37"/>
        <v>22</v>
      </c>
      <c r="J436">
        <f t="shared" si="38"/>
        <v>36.571428571428569</v>
      </c>
      <c r="K436">
        <f t="shared" si="39"/>
        <v>163676.7890625</v>
      </c>
      <c r="L436">
        <f t="shared" si="40"/>
        <v>36.142857142857146</v>
      </c>
      <c r="M436">
        <f t="shared" si="41"/>
        <v>165617.62055335968</v>
      </c>
      <c r="O436" s="15"/>
      <c r="P436" s="15"/>
    </row>
    <row r="437" spans="1:16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 cm="1">
        <f t="array" ref="E437">_xlfn.XLOOKUP(1, (Лист1!$A437=Лист2!$A$2:$A$505)*(Лист1!$B437=Лист2!$B$2:$B$505),Лист2!$C$2:$C$505)</f>
        <v>36</v>
      </c>
      <c r="F437" s="7" cm="1">
        <f t="array" ref="F437">_xlfn.XLOOKUP(1, (Лист1!$A437=Лист2!$A$2:$A$505)*(Лист1!$B437=Лист2!$B$2:$B$505),Лист2!$D$2:$D$505)</f>
        <v>4857</v>
      </c>
      <c r="G437" s="7" cm="1">
        <f t="array" ref="G437">_xlfn.XLOOKUP(1, (Лист1!$A437=Лист2!$A$2:$A$505)*(Лист1!$B437=Лист2!$B$2:$B$505),Лист2!$E$2:$E$505)</f>
        <v>4456</v>
      </c>
      <c r="H437">
        <f t="shared" si="36"/>
        <v>165096.91666666666</v>
      </c>
      <c r="I437">
        <f t="shared" si="37"/>
        <v>21</v>
      </c>
      <c r="J437">
        <f t="shared" si="38"/>
        <v>36</v>
      </c>
      <c r="K437">
        <f t="shared" si="39"/>
        <v>165096.91666666666</v>
      </c>
      <c r="L437">
        <f t="shared" si="40"/>
        <v>36.142857142857146</v>
      </c>
      <c r="M437">
        <f t="shared" si="41"/>
        <v>164444.35968379446</v>
      </c>
      <c r="O437" s="15"/>
      <c r="P437" s="15"/>
    </row>
    <row r="438" spans="1:16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 cm="1">
        <f t="array" ref="E438">_xlfn.XLOOKUP(1, (Лист1!$A438=Лист2!$A$2:$A$505)*(Лист1!$B438=Лист2!$B$2:$B$505),Лист2!$C$2:$C$505)</f>
        <v>37</v>
      </c>
      <c r="F438" s="7" cm="1">
        <f t="array" ref="F438">_xlfn.XLOOKUP(1, (Лист1!$A438=Лист2!$A$2:$A$505)*(Лист1!$B438=Лист2!$B$2:$B$505),Лист2!$D$2:$D$505)</f>
        <v>4722</v>
      </c>
      <c r="G438" s="7" cm="1">
        <f t="array" ref="G438">_xlfn.XLOOKUP(1, (Лист1!$A438=Лист2!$A$2:$A$505)*(Лист1!$B438=Лист2!$B$2:$B$505),Лист2!$E$2:$E$505)</f>
        <v>4352</v>
      </c>
      <c r="H438">
        <f t="shared" si="36"/>
        <v>156764.59459459459</v>
      </c>
      <c r="I438">
        <f t="shared" si="37"/>
        <v>23</v>
      </c>
      <c r="J438">
        <f t="shared" si="38"/>
        <v>37</v>
      </c>
      <c r="K438">
        <f t="shared" si="39"/>
        <v>156764.59459459459</v>
      </c>
      <c r="L438">
        <f t="shared" si="40"/>
        <v>36.142857142857146</v>
      </c>
      <c r="M438">
        <f t="shared" si="41"/>
        <v>160482.33201581027</v>
      </c>
      <c r="O438" s="15"/>
      <c r="P438" s="15"/>
    </row>
    <row r="439" spans="1:16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 cm="1">
        <f t="array" ref="E439">_xlfn.XLOOKUP(1, (Лист1!$A439=Лист2!$A$2:$A$505)*(Лист1!$B439=Лист2!$B$2:$B$505),Лист2!$C$2:$C$505)</f>
        <v>36</v>
      </c>
      <c r="F439" s="7" cm="1">
        <f t="array" ref="F439">_xlfn.XLOOKUP(1, (Лист1!$A439=Лист2!$A$2:$A$505)*(Лист1!$B439=Лист2!$B$2:$B$505),Лист2!$D$2:$D$505)</f>
        <v>4150</v>
      </c>
      <c r="G439" s="7" cm="1">
        <f t="array" ref="G439">_xlfn.XLOOKUP(1, (Лист1!$A439=Лист2!$A$2:$A$505)*(Лист1!$B439=Лист2!$B$2:$B$505),Лист2!$E$2:$E$505)</f>
        <v>3838</v>
      </c>
      <c r="H439">
        <f t="shared" si="36"/>
        <v>143838.04166666666</v>
      </c>
      <c r="I439">
        <f t="shared" si="37"/>
        <v>20</v>
      </c>
      <c r="J439">
        <f t="shared" si="38"/>
        <v>36</v>
      </c>
      <c r="K439">
        <f t="shared" si="39"/>
        <v>143838.04166666666</v>
      </c>
      <c r="L439">
        <f t="shared" si="40"/>
        <v>36.142857142857146</v>
      </c>
      <c r="M439">
        <f t="shared" si="41"/>
        <v>143269.51185770749</v>
      </c>
      <c r="O439" s="15"/>
      <c r="P439" s="15"/>
    </row>
    <row r="440" spans="1:16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 cm="1">
        <f t="array" ref="E440">_xlfn.XLOOKUP(1, (Лист1!$A440=Лист2!$A$2:$A$505)*(Лист1!$B440=Лист2!$B$2:$B$505),Лист2!$C$2:$C$505)</f>
        <v>124</v>
      </c>
      <c r="F440" s="7" cm="1">
        <f t="array" ref="F440">_xlfn.XLOOKUP(1, (Лист1!$A440=Лист2!$A$2:$A$505)*(Лист1!$B440=Лист2!$B$2:$B$505),Лист2!$D$2:$D$505)</f>
        <v>25828</v>
      </c>
      <c r="G440" s="7" cm="1">
        <f t="array" ref="G440">_xlfn.XLOOKUP(1, (Лист1!$A440=Лист2!$A$2:$A$505)*(Лист1!$B440=Лист2!$B$2:$B$505),Лист2!$E$2:$E$505)</f>
        <v>23974</v>
      </c>
      <c r="H440">
        <f t="shared" si="36"/>
        <v>436871.20161290321</v>
      </c>
      <c r="I440">
        <f t="shared" si="37"/>
        <v>22</v>
      </c>
      <c r="J440">
        <f t="shared" si="38"/>
        <v>124</v>
      </c>
      <c r="K440">
        <f t="shared" si="39"/>
        <v>436871.20161290321</v>
      </c>
      <c r="L440">
        <f t="shared" si="40"/>
        <v>124.74285714285715</v>
      </c>
      <c r="M440">
        <f t="shared" si="41"/>
        <v>434269.58657810354</v>
      </c>
      <c r="O440" s="15"/>
      <c r="P440" s="15"/>
    </row>
    <row r="441" spans="1:16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 cm="1">
        <f t="array" ref="E441">_xlfn.XLOOKUP(1, (Лист1!$A441=Лист2!$A$2:$A$505)*(Лист1!$B441=Лист2!$B$2:$B$505),Лист2!$C$2:$C$505)</f>
        <v>36</v>
      </c>
      <c r="F441" s="7" cm="1">
        <f t="array" ref="F441">_xlfn.XLOOKUP(1, (Лист1!$A441=Лист2!$A$2:$A$505)*(Лист1!$B441=Лист2!$B$2:$B$505),Лист2!$D$2:$D$505)</f>
        <v>4885</v>
      </c>
      <c r="G441" s="7" cm="1">
        <f t="array" ref="G441">_xlfn.XLOOKUP(1, (Лист1!$A441=Лист2!$A$2:$A$505)*(Лист1!$B441=Лист2!$B$2:$B$505),Лист2!$E$2:$E$505)</f>
        <v>4502</v>
      </c>
      <c r="H441">
        <f t="shared" si="36"/>
        <v>161068.79166666666</v>
      </c>
      <c r="I441">
        <f t="shared" si="37"/>
        <v>21</v>
      </c>
      <c r="J441">
        <f t="shared" si="38"/>
        <v>36</v>
      </c>
      <c r="K441">
        <f t="shared" si="39"/>
        <v>161068.79166666666</v>
      </c>
      <c r="L441">
        <f t="shared" si="40"/>
        <v>36.142857142857146</v>
      </c>
      <c r="M441">
        <f t="shared" si="41"/>
        <v>160432.15612648221</v>
      </c>
      <c r="O441" s="15"/>
      <c r="P441" s="15"/>
    </row>
    <row r="442" spans="1:16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 cm="1">
        <f t="array" ref="E442">_xlfn.XLOOKUP(1, (Лист1!$A442=Лист2!$A$2:$A$505)*(Лист1!$B442=Лист2!$B$2:$B$505),Лист2!$C$2:$C$505)</f>
        <v>36</v>
      </c>
      <c r="F442" s="7" cm="1">
        <f t="array" ref="F442">_xlfn.XLOOKUP(1, (Лист1!$A442=Лист2!$A$2:$A$505)*(Лист1!$B442=Лист2!$B$2:$B$505),Лист2!$D$2:$D$505)</f>
        <v>4285</v>
      </c>
      <c r="G442" s="7" cm="1">
        <f t="array" ref="G442">_xlfn.XLOOKUP(1, (Лист1!$A442=Лист2!$A$2:$A$505)*(Лист1!$B442=Лист2!$B$2:$B$505),Лист2!$E$2:$E$505)</f>
        <v>3950</v>
      </c>
      <c r="H442">
        <f t="shared" si="36"/>
        <v>149072.29166666666</v>
      </c>
      <c r="I442">
        <f t="shared" si="37"/>
        <v>20</v>
      </c>
      <c r="J442">
        <f t="shared" si="38"/>
        <v>36</v>
      </c>
      <c r="K442">
        <f t="shared" si="39"/>
        <v>149072.29166666666</v>
      </c>
      <c r="L442">
        <f t="shared" si="40"/>
        <v>36.142857142857146</v>
      </c>
      <c r="M442">
        <f t="shared" si="41"/>
        <v>148483.07312252963</v>
      </c>
      <c r="O442" s="15"/>
      <c r="P442" s="15"/>
    </row>
    <row r="443" spans="1:16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 cm="1">
        <f t="array" ref="E443">_xlfn.XLOOKUP(1, (Лист1!$A443=Лист2!$A$2:$A$505)*(Лист1!$B443=Лист2!$B$2:$B$505),Лист2!$C$2:$C$505)</f>
        <v>36</v>
      </c>
      <c r="F443" s="7" cm="1">
        <f t="array" ref="F443">_xlfn.XLOOKUP(1, (Лист1!$A443=Лист2!$A$2:$A$505)*(Лист1!$B443=Лист2!$B$2:$B$505),Лист2!$D$2:$D$505)</f>
        <v>4862</v>
      </c>
      <c r="G443" s="7" cm="1">
        <f t="array" ref="G443">_xlfn.XLOOKUP(1, (Лист1!$A443=Лист2!$A$2:$A$505)*(Лист1!$B443=Лист2!$B$2:$B$505),Лист2!$E$2:$E$505)</f>
        <v>4476</v>
      </c>
      <c r="H443">
        <f t="shared" si="36"/>
        <v>174832</v>
      </c>
      <c r="I443">
        <f t="shared" si="37"/>
        <v>20</v>
      </c>
      <c r="J443">
        <f t="shared" si="38"/>
        <v>36</v>
      </c>
      <c r="K443">
        <f t="shared" si="39"/>
        <v>174832</v>
      </c>
      <c r="L443">
        <f t="shared" si="40"/>
        <v>36.142857142857146</v>
      </c>
      <c r="M443">
        <f t="shared" si="41"/>
        <v>174140.96442687744</v>
      </c>
      <c r="O443" s="15"/>
      <c r="P443" s="15"/>
    </row>
    <row r="444" spans="1:16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 cm="1">
        <f t="array" ref="E444">_xlfn.XLOOKUP(1, (Лист1!$A444=Лист2!$A$2:$A$505)*(Лист1!$B444=Лист2!$B$2:$B$505),Лист2!$C$2:$C$505)</f>
        <v>21</v>
      </c>
      <c r="F444" s="7" cm="1">
        <f t="array" ref="F444">_xlfn.XLOOKUP(1, (Лист1!$A444=Лист2!$A$2:$A$505)*(Лист1!$B444=Лист2!$B$2:$B$505),Лист2!$D$2:$D$505)</f>
        <v>2430</v>
      </c>
      <c r="G444" s="7" cm="1">
        <f t="array" ref="G444">_xlfn.XLOOKUP(1, (Лист1!$A444=Лист2!$A$2:$A$505)*(Лист1!$B444=Лист2!$B$2:$B$505),Лист2!$E$2:$E$505)</f>
        <v>2216</v>
      </c>
      <c r="H444">
        <f t="shared" si="36"/>
        <v>180040.57142857142</v>
      </c>
      <c r="I444">
        <f t="shared" si="37"/>
        <v>22</v>
      </c>
      <c r="J444">
        <f t="shared" si="38"/>
        <v>21.714285714285715</v>
      </c>
      <c r="K444">
        <f t="shared" si="39"/>
        <v>174118.18421052632</v>
      </c>
      <c r="L444">
        <f t="shared" si="40"/>
        <v>20.885714285714286</v>
      </c>
      <c r="M444">
        <f t="shared" si="41"/>
        <v>181025.74555403556</v>
      </c>
      <c r="O444" s="15"/>
      <c r="P444" s="15"/>
    </row>
    <row r="445" spans="1:16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 cm="1">
        <f t="array" ref="E445">_xlfn.XLOOKUP(1, (Лист1!$A445=Лист2!$A$2:$A$505)*(Лист1!$B445=Лист2!$B$2:$B$505),Лист2!$C$2:$C$505)</f>
        <v>21</v>
      </c>
      <c r="F445" s="7" cm="1">
        <f t="array" ref="F445">_xlfn.XLOOKUP(1, (Лист1!$A445=Лист2!$A$2:$A$505)*(Лист1!$B445=Лист2!$B$2:$B$505),Лист2!$D$2:$D$505)</f>
        <v>2861</v>
      </c>
      <c r="G445" s="7" cm="1">
        <f t="array" ref="G445">_xlfn.XLOOKUP(1, (Лист1!$A445=Лист2!$A$2:$A$505)*(Лист1!$B445=Лист2!$B$2:$B$505),Лист2!$E$2:$E$505)</f>
        <v>2612</v>
      </c>
      <c r="H445">
        <f t="shared" si="36"/>
        <v>230515.85714285713</v>
      </c>
      <c r="I445">
        <f t="shared" si="37"/>
        <v>21</v>
      </c>
      <c r="J445">
        <f t="shared" si="38"/>
        <v>21</v>
      </c>
      <c r="K445">
        <f t="shared" si="39"/>
        <v>230515.85714285713</v>
      </c>
      <c r="L445">
        <f t="shared" si="40"/>
        <v>20.885714285714286</v>
      </c>
      <c r="M445">
        <f t="shared" si="41"/>
        <v>231777.2298221614</v>
      </c>
      <c r="O445" s="15"/>
      <c r="P445" s="15"/>
    </row>
    <row r="446" spans="1:16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 cm="1">
        <f t="array" ref="E446">_xlfn.XLOOKUP(1, (Лист1!$A446=Лист2!$A$2:$A$505)*(Лист1!$B446=Лист2!$B$2:$B$505),Лист2!$C$2:$C$505)</f>
        <v>23</v>
      </c>
      <c r="F446" s="7" cm="1">
        <f t="array" ref="F446">_xlfn.XLOOKUP(1, (Лист1!$A446=Лист2!$A$2:$A$505)*(Лист1!$B446=Лист2!$B$2:$B$505),Лист2!$D$2:$D$505)</f>
        <v>2531</v>
      </c>
      <c r="G446" s="7" cm="1">
        <f t="array" ref="G446">_xlfn.XLOOKUP(1, (Лист1!$A446=Лист2!$A$2:$A$505)*(Лист1!$B446=Лист2!$B$2:$B$505),Лист2!$E$2:$E$505)</f>
        <v>2296</v>
      </c>
      <c r="H446">
        <f t="shared" si="36"/>
        <v>168054.39130434784</v>
      </c>
      <c r="I446">
        <f t="shared" si="37"/>
        <v>23</v>
      </c>
      <c r="J446">
        <f t="shared" si="38"/>
        <v>23</v>
      </c>
      <c r="K446">
        <f t="shared" si="39"/>
        <v>168054.39130434784</v>
      </c>
      <c r="L446">
        <f t="shared" si="40"/>
        <v>20.885714285714286</v>
      </c>
      <c r="M446">
        <f t="shared" si="41"/>
        <v>185066.73734610123</v>
      </c>
      <c r="O446" s="15"/>
      <c r="P446" s="15"/>
    </row>
    <row r="447" spans="1:16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 cm="1">
        <f t="array" ref="E447">_xlfn.XLOOKUP(1, (Лист1!$A447=Лист2!$A$2:$A$505)*(Лист1!$B447=Лист2!$B$2:$B$505),Лист2!$C$2:$C$505)</f>
        <v>21</v>
      </c>
      <c r="F447" s="7" cm="1">
        <f t="array" ref="F447">_xlfn.XLOOKUP(1, (Лист1!$A447=Лист2!$A$2:$A$505)*(Лист1!$B447=Лист2!$B$2:$B$505),Лист2!$D$2:$D$505)</f>
        <v>1916</v>
      </c>
      <c r="G447" s="7" cm="1">
        <f t="array" ref="G447">_xlfn.XLOOKUP(1, (Лист1!$A447=Лист2!$A$2:$A$505)*(Лист1!$B447=Лист2!$B$2:$B$505),Лист2!$E$2:$E$505)</f>
        <v>1733</v>
      </c>
      <c r="H447">
        <f t="shared" si="36"/>
        <v>146649.07142857142</v>
      </c>
      <c r="I447">
        <f t="shared" si="37"/>
        <v>20</v>
      </c>
      <c r="J447">
        <f t="shared" si="38"/>
        <v>21</v>
      </c>
      <c r="K447">
        <f t="shared" si="39"/>
        <v>146649.07142857142</v>
      </c>
      <c r="L447">
        <f t="shared" si="40"/>
        <v>20.885714285714286</v>
      </c>
      <c r="M447">
        <f t="shared" si="41"/>
        <v>147451.52872777017</v>
      </c>
      <c r="O447" s="15"/>
      <c r="P447" s="15"/>
    </row>
    <row r="448" spans="1:16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 cm="1">
        <f t="array" ref="E448">_xlfn.XLOOKUP(1, (Лист1!$A448=Лист2!$A$2:$A$505)*(Лист1!$B448=Лист2!$B$2:$B$505),Лист2!$C$2:$C$505)</f>
        <v>37</v>
      </c>
      <c r="F448" s="7" cm="1">
        <f t="array" ref="F448">_xlfn.XLOOKUP(1, (Лист1!$A448=Лист2!$A$2:$A$505)*(Лист1!$B448=Лист2!$B$2:$B$505),Лист2!$D$2:$D$505)</f>
        <v>5672</v>
      </c>
      <c r="G448" s="7" cm="1">
        <f t="array" ref="G448">_xlfn.XLOOKUP(1, (Лист1!$A448=Лист2!$A$2:$A$505)*(Лист1!$B448=Лист2!$B$2:$B$505),Лист2!$E$2:$E$505)</f>
        <v>5198</v>
      </c>
      <c r="H448">
        <f t="shared" si="36"/>
        <v>195362.02702702704</v>
      </c>
      <c r="I448">
        <f t="shared" si="37"/>
        <v>22</v>
      </c>
      <c r="J448">
        <f t="shared" si="38"/>
        <v>36.571428571428569</v>
      </c>
      <c r="K448">
        <f t="shared" si="39"/>
        <v>197651.42578125</v>
      </c>
      <c r="L448">
        <f t="shared" si="40"/>
        <v>36.142857142857146</v>
      </c>
      <c r="M448">
        <f t="shared" si="41"/>
        <v>199995.11857707507</v>
      </c>
      <c r="O448" s="15"/>
      <c r="P448" s="15"/>
    </row>
    <row r="449" spans="1:16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 cm="1">
        <f t="array" ref="E449">_xlfn.XLOOKUP(1, (Лист1!$A449=Лист2!$A$2:$A$505)*(Лист1!$B449=Лист2!$B$2:$B$505),Лист2!$C$2:$C$505)</f>
        <v>21</v>
      </c>
      <c r="F449" s="7" cm="1">
        <f t="array" ref="F449">_xlfn.XLOOKUP(1, (Лист1!$A449=Лист2!$A$2:$A$505)*(Лист1!$B449=Лист2!$B$2:$B$505),Лист2!$D$2:$D$505)</f>
        <v>2136</v>
      </c>
      <c r="G449" s="7" cm="1">
        <f t="array" ref="G449">_xlfn.XLOOKUP(1, (Лист1!$A449=Лист2!$A$2:$A$505)*(Лист1!$B449=Лист2!$B$2:$B$505),Лист2!$E$2:$E$505)</f>
        <v>1947</v>
      </c>
      <c r="H449">
        <f t="shared" si="36"/>
        <v>160006.42857142858</v>
      </c>
      <c r="I449">
        <f t="shared" si="37"/>
        <v>21</v>
      </c>
      <c r="J449">
        <f t="shared" si="38"/>
        <v>21</v>
      </c>
      <c r="K449">
        <f t="shared" si="39"/>
        <v>160006.42857142858</v>
      </c>
      <c r="L449">
        <f t="shared" si="40"/>
        <v>20.885714285714286</v>
      </c>
      <c r="M449">
        <f t="shared" si="41"/>
        <v>160881.97674418605</v>
      </c>
      <c r="O449" s="15"/>
      <c r="P449" s="15"/>
    </row>
    <row r="450" spans="1:16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 cm="1">
        <f t="array" ref="E450">_xlfn.XLOOKUP(1, (Лист1!$A450=Лист2!$A$2:$A$505)*(Лист1!$B450=Лист2!$B$2:$B$505),Лист2!$C$2:$C$505)</f>
        <v>21</v>
      </c>
      <c r="F450" s="7" cm="1">
        <f t="array" ref="F450">_xlfn.XLOOKUP(1, (Лист1!$A450=Лист2!$A$2:$A$505)*(Лист1!$B450=Лист2!$B$2:$B$505),Лист2!$D$2:$D$505)</f>
        <v>1993</v>
      </c>
      <c r="G450" s="7" cm="1">
        <f t="array" ref="G450">_xlfn.XLOOKUP(1, (Лист1!$A450=Лист2!$A$2:$A$505)*(Лист1!$B450=Лист2!$B$2:$B$505),Лист2!$E$2:$E$505)</f>
        <v>1796</v>
      </c>
      <c r="H450">
        <f t="shared" si="36"/>
        <v>150784.71428571429</v>
      </c>
      <c r="I450">
        <f t="shared" si="37"/>
        <v>20</v>
      </c>
      <c r="J450">
        <f t="shared" si="38"/>
        <v>21</v>
      </c>
      <c r="K450">
        <f t="shared" si="39"/>
        <v>150784.71428571429</v>
      </c>
      <c r="L450">
        <f t="shared" si="40"/>
        <v>20.885714285714286</v>
      </c>
      <c r="M450">
        <f t="shared" si="41"/>
        <v>151609.80164158688</v>
      </c>
      <c r="O450" s="15"/>
      <c r="P450" s="15"/>
    </row>
    <row r="451" spans="1:16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 cm="1">
        <f t="array" ref="E451">_xlfn.XLOOKUP(1, (Лист1!$A451=Лист2!$A$2:$A$505)*(Лист1!$B451=Лист2!$B$2:$B$505),Лист2!$C$2:$C$505)</f>
        <v>21</v>
      </c>
      <c r="F451" s="7" cm="1">
        <f t="array" ref="F451">_xlfn.XLOOKUP(1, (Лист1!$A451=Лист2!$A$2:$A$505)*(Лист1!$B451=Лист2!$B$2:$B$505),Лист2!$D$2:$D$505)</f>
        <v>2255</v>
      </c>
      <c r="G451" s="7" cm="1">
        <f t="array" ref="G451">_xlfn.XLOOKUP(1, (Лист1!$A451=Лист2!$A$2:$A$505)*(Лист1!$B451=Лист2!$B$2:$B$505),Лист2!$E$2:$E$505)</f>
        <v>2045</v>
      </c>
      <c r="H451">
        <f t="shared" ref="H451:H505" si="42">$D451/$E451</f>
        <v>179631.35714285713</v>
      </c>
      <c r="I451">
        <f t="shared" ref="I451:I505" si="43">WEEKNUM($A451,2)</f>
        <v>20</v>
      </c>
      <c r="J451">
        <f t="shared" ref="J451:J505" si="44">AVERAGEIFS($E$2:$E$505,$I$2:$I$505,$I451,$B$2:$B$505,$B451)</f>
        <v>21</v>
      </c>
      <c r="K451">
        <f t="shared" ref="K451:K505" si="45">$D451/$J451</f>
        <v>179631.35714285713</v>
      </c>
      <c r="L451">
        <f t="shared" ref="L451:L505" si="46">AVERAGEIFS($E$2:$E$505,$B$2:$B$505,$B451)</f>
        <v>20.885714285714286</v>
      </c>
      <c r="M451">
        <f t="shared" ref="M451:M505" si="47">$D451/$L451</f>
        <v>180614.29206566347</v>
      </c>
      <c r="O451" s="15"/>
      <c r="P451" s="15"/>
    </row>
    <row r="452" spans="1:16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 cm="1">
        <f t="array" ref="E452">_xlfn.XLOOKUP(1, (Лист1!$A452=Лист2!$A$2:$A$505)*(Лист1!$B452=Лист2!$B$2:$B$505),Лист2!$C$2:$C$505)</f>
        <v>22</v>
      </c>
      <c r="F452" s="7" cm="1">
        <f t="array" ref="F452">_xlfn.XLOOKUP(1, (Лист1!$A452=Лист2!$A$2:$A$505)*(Лист1!$B452=Лист2!$B$2:$B$505),Лист2!$D$2:$D$505)</f>
        <v>2597</v>
      </c>
      <c r="G452" s="7" cm="1">
        <f t="array" ref="G452">_xlfn.XLOOKUP(1, (Лист1!$A452=Лист2!$A$2:$A$505)*(Лист1!$B452=Лист2!$B$2:$B$505),Лист2!$E$2:$E$505)</f>
        <v>2379</v>
      </c>
      <c r="H452">
        <f t="shared" si="42"/>
        <v>186754.36363636365</v>
      </c>
      <c r="I452">
        <f t="shared" si="43"/>
        <v>22</v>
      </c>
      <c r="J452">
        <f t="shared" si="44"/>
        <v>21.714285714285715</v>
      </c>
      <c r="K452">
        <f t="shared" si="45"/>
        <v>189211.65789473683</v>
      </c>
      <c r="L452">
        <f t="shared" si="46"/>
        <v>20.885714285714286</v>
      </c>
      <c r="M452">
        <f t="shared" si="47"/>
        <v>196718.00273597811</v>
      </c>
      <c r="O452" s="15"/>
      <c r="P452" s="15"/>
    </row>
    <row r="453" spans="1:16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 cm="1">
        <f t="array" ref="E453">_xlfn.XLOOKUP(1, (Лист1!$A453=Лист2!$A$2:$A$505)*(Лист1!$B453=Лист2!$B$2:$B$505),Лист2!$C$2:$C$505)</f>
        <v>17</v>
      </c>
      <c r="F453" s="7" cm="1">
        <f t="array" ref="F453">_xlfn.XLOOKUP(1, (Лист1!$A453=Лист2!$A$2:$A$505)*(Лист1!$B453=Лист2!$B$2:$B$505),Лист2!$D$2:$D$505)</f>
        <v>1203</v>
      </c>
      <c r="G453" s="7" cm="1">
        <f t="array" ref="G453">_xlfn.XLOOKUP(1, (Лист1!$A453=Лист2!$A$2:$A$505)*(Лист1!$B453=Лист2!$B$2:$B$505),Лист2!$E$2:$E$505)</f>
        <v>1077</v>
      </c>
      <c r="H453">
        <f t="shared" si="42"/>
        <v>94299.088235294112</v>
      </c>
      <c r="I453">
        <f t="shared" si="43"/>
        <v>22</v>
      </c>
      <c r="J453">
        <f t="shared" si="44"/>
        <v>17</v>
      </c>
      <c r="K453">
        <f t="shared" si="45"/>
        <v>94299.088235294112</v>
      </c>
      <c r="L453">
        <f t="shared" si="46"/>
        <v>15.771428571428572</v>
      </c>
      <c r="M453">
        <f t="shared" si="47"/>
        <v>101644.85054347826</v>
      </c>
      <c r="O453" s="15"/>
      <c r="P453" s="15"/>
    </row>
    <row r="454" spans="1:16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 cm="1">
        <f t="array" ref="E454">_xlfn.XLOOKUP(1, (Лист1!$A454=Лист2!$A$2:$A$505)*(Лист1!$B454=Лист2!$B$2:$B$505),Лист2!$C$2:$C$505)</f>
        <v>17</v>
      </c>
      <c r="F454" s="7" cm="1">
        <f t="array" ref="F454">_xlfn.XLOOKUP(1, (Лист1!$A454=Лист2!$A$2:$A$505)*(Лист1!$B454=Лист2!$B$2:$B$505),Лист2!$D$2:$D$505)</f>
        <v>1268</v>
      </c>
      <c r="G454" s="7" cm="1">
        <f t="array" ref="G454">_xlfn.XLOOKUP(1, (Лист1!$A454=Лист2!$A$2:$A$505)*(Лист1!$B454=Лист2!$B$2:$B$505),Лист2!$E$2:$E$505)</f>
        <v>1129</v>
      </c>
      <c r="H454">
        <f t="shared" si="42"/>
        <v>104372.29411764706</v>
      </c>
      <c r="I454">
        <f t="shared" si="43"/>
        <v>21</v>
      </c>
      <c r="J454">
        <f t="shared" si="44"/>
        <v>16.571428571428573</v>
      </c>
      <c r="K454">
        <f t="shared" si="45"/>
        <v>107071.57758620688</v>
      </c>
      <c r="L454">
        <f t="shared" si="46"/>
        <v>15.771428571428572</v>
      </c>
      <c r="M454">
        <f t="shared" si="47"/>
        <v>112502.74456521739</v>
      </c>
      <c r="O454" s="15"/>
      <c r="P454" s="15"/>
    </row>
    <row r="455" spans="1:16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 cm="1">
        <f t="array" ref="E455">_xlfn.XLOOKUP(1, (Лист1!$A455=Лист2!$A$2:$A$505)*(Лист1!$B455=Лист2!$B$2:$B$505),Лист2!$C$2:$C$505)</f>
        <v>17</v>
      </c>
      <c r="F455" s="7" cm="1">
        <f t="array" ref="F455">_xlfn.XLOOKUP(1, (Лист1!$A455=Лист2!$A$2:$A$505)*(Лист1!$B455=Лист2!$B$2:$B$505),Лист2!$D$2:$D$505)</f>
        <v>1185</v>
      </c>
      <c r="G455" s="7" cm="1">
        <f t="array" ref="G455">_xlfn.XLOOKUP(1, (Лист1!$A455=Лист2!$A$2:$A$505)*(Лист1!$B455=Лист2!$B$2:$B$505),Лист2!$E$2:$E$505)</f>
        <v>1042</v>
      </c>
      <c r="H455">
        <f t="shared" si="42"/>
        <v>89800.5</v>
      </c>
      <c r="I455">
        <f t="shared" si="43"/>
        <v>23</v>
      </c>
      <c r="J455">
        <f t="shared" si="44"/>
        <v>17</v>
      </c>
      <c r="K455">
        <f t="shared" si="45"/>
        <v>89800.5</v>
      </c>
      <c r="L455">
        <f t="shared" si="46"/>
        <v>15.771428571428572</v>
      </c>
      <c r="M455">
        <f t="shared" si="47"/>
        <v>96795.828804347824</v>
      </c>
      <c r="O455" s="15"/>
      <c r="P455" s="15"/>
    </row>
    <row r="456" spans="1:16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 cm="1">
        <f t="array" ref="E456">_xlfn.XLOOKUP(1, (Лист1!$A456=Лист2!$A$2:$A$505)*(Лист1!$B456=Лист2!$B$2:$B$505),Лист2!$C$2:$C$505)</f>
        <v>15</v>
      </c>
      <c r="F456" s="7" cm="1">
        <f t="array" ref="F456">_xlfn.XLOOKUP(1, (Лист1!$A456=Лист2!$A$2:$A$505)*(Лист1!$B456=Лист2!$B$2:$B$505),Лист2!$D$2:$D$505)</f>
        <v>812</v>
      </c>
      <c r="G456" s="7" cm="1">
        <f t="array" ref="G456">_xlfn.XLOOKUP(1, (Лист1!$A456=Лист2!$A$2:$A$505)*(Лист1!$B456=Лист2!$B$2:$B$505),Лист2!$E$2:$E$505)</f>
        <v>714</v>
      </c>
      <c r="H456">
        <f t="shared" si="42"/>
        <v>73066.8</v>
      </c>
      <c r="I456">
        <f t="shared" si="43"/>
        <v>20</v>
      </c>
      <c r="J456">
        <f t="shared" si="44"/>
        <v>15</v>
      </c>
      <c r="K456">
        <f t="shared" si="45"/>
        <v>73066.8</v>
      </c>
      <c r="L456">
        <f t="shared" si="46"/>
        <v>15.771428571428572</v>
      </c>
      <c r="M456">
        <f t="shared" si="47"/>
        <v>69492.880434782608</v>
      </c>
      <c r="O456" s="15"/>
      <c r="P456" s="15"/>
    </row>
    <row r="457" spans="1:16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 cm="1">
        <f t="array" ref="E457">_xlfn.XLOOKUP(1, (Лист1!$A457=Лист2!$A$2:$A$505)*(Лист1!$B457=Лист2!$B$2:$B$505),Лист2!$C$2:$C$505)</f>
        <v>16</v>
      </c>
      <c r="F457" s="7" cm="1">
        <f t="array" ref="F457">_xlfn.XLOOKUP(1, (Лист1!$A457=Лист2!$A$2:$A$505)*(Лист1!$B457=Лист2!$B$2:$B$505),Лист2!$D$2:$D$505)</f>
        <v>925</v>
      </c>
      <c r="G457" s="7" cm="1">
        <f t="array" ref="G457">_xlfn.XLOOKUP(1, (Лист1!$A457=Лист2!$A$2:$A$505)*(Лист1!$B457=Лист2!$B$2:$B$505),Лист2!$E$2:$E$505)</f>
        <v>816</v>
      </c>
      <c r="H457">
        <f t="shared" si="42"/>
        <v>77885.15625</v>
      </c>
      <c r="I457">
        <f t="shared" si="43"/>
        <v>21</v>
      </c>
      <c r="J457">
        <f t="shared" si="44"/>
        <v>16.571428571428573</v>
      </c>
      <c r="K457">
        <f t="shared" si="45"/>
        <v>75199.461206896551</v>
      </c>
      <c r="L457">
        <f t="shared" si="46"/>
        <v>15.771428571428572</v>
      </c>
      <c r="M457">
        <f t="shared" si="47"/>
        <v>79013.926630434784</v>
      </c>
      <c r="O457" s="15"/>
      <c r="P457" s="15"/>
    </row>
    <row r="458" spans="1:16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 cm="1">
        <f t="array" ref="E458">_xlfn.XLOOKUP(1, (Лист1!$A458=Лист2!$A$2:$A$505)*(Лист1!$B458=Лист2!$B$2:$B$505),Лист2!$C$2:$C$505)</f>
        <v>15</v>
      </c>
      <c r="F458" s="7" cm="1">
        <f t="array" ref="F458">_xlfn.XLOOKUP(1, (Лист1!$A458=Лист2!$A$2:$A$505)*(Лист1!$B458=Лист2!$B$2:$B$505),Лист2!$D$2:$D$505)</f>
        <v>890</v>
      </c>
      <c r="G458" s="7" cm="1">
        <f t="array" ref="G458">_xlfn.XLOOKUP(1, (Лист1!$A458=Лист2!$A$2:$A$505)*(Лист1!$B458=Лист2!$B$2:$B$505),Лист2!$E$2:$E$505)</f>
        <v>777</v>
      </c>
      <c r="H458">
        <f t="shared" si="42"/>
        <v>81566.100000000006</v>
      </c>
      <c r="I458">
        <f t="shared" si="43"/>
        <v>20</v>
      </c>
      <c r="J458">
        <f t="shared" si="44"/>
        <v>15</v>
      </c>
      <c r="K458">
        <f t="shared" si="45"/>
        <v>81566.100000000006</v>
      </c>
      <c r="L458">
        <f t="shared" si="46"/>
        <v>15.771428571428572</v>
      </c>
      <c r="M458">
        <f t="shared" si="47"/>
        <v>77576.453804347824</v>
      </c>
      <c r="O458" s="15"/>
      <c r="P458" s="15"/>
    </row>
    <row r="459" spans="1:16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 cm="1">
        <f t="array" ref="E459">_xlfn.XLOOKUP(1, (Лист1!$A459=Лист2!$A$2:$A$505)*(Лист1!$B459=Лист2!$B$2:$B$505),Лист2!$C$2:$C$505)</f>
        <v>15</v>
      </c>
      <c r="F459" s="7" cm="1">
        <f t="array" ref="F459">_xlfn.XLOOKUP(1, (Лист1!$A459=Лист2!$A$2:$A$505)*(Лист1!$B459=Лист2!$B$2:$B$505),Лист2!$D$2:$D$505)</f>
        <v>980</v>
      </c>
      <c r="G459" s="7" cm="1">
        <f t="array" ref="G459">_xlfn.XLOOKUP(1, (Лист1!$A459=Лист2!$A$2:$A$505)*(Лист1!$B459=Лист2!$B$2:$B$505),Лист2!$E$2:$E$505)</f>
        <v>867</v>
      </c>
      <c r="H459">
        <f t="shared" si="42"/>
        <v>91365.5</v>
      </c>
      <c r="I459">
        <f t="shared" si="43"/>
        <v>20</v>
      </c>
      <c r="J459">
        <f t="shared" si="44"/>
        <v>15</v>
      </c>
      <c r="K459">
        <f t="shared" si="45"/>
        <v>91365.5</v>
      </c>
      <c r="L459">
        <f t="shared" si="46"/>
        <v>15.771428571428572</v>
      </c>
      <c r="M459">
        <f t="shared" si="47"/>
        <v>86896.535326086945</v>
      </c>
      <c r="O459" s="15"/>
      <c r="P459" s="15"/>
    </row>
    <row r="460" spans="1:16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 cm="1">
        <f t="array" ref="E460">_xlfn.XLOOKUP(1, (Лист1!$A460=Лист2!$A$2:$A$505)*(Лист1!$B460=Лист2!$B$2:$B$505),Лист2!$C$2:$C$505)</f>
        <v>15</v>
      </c>
      <c r="F460" s="7" cm="1">
        <f t="array" ref="F460">_xlfn.XLOOKUP(1, (Лист1!$A460=Лист2!$A$2:$A$505)*(Лист1!$B460=Лист2!$B$2:$B$505),Лист2!$D$2:$D$505)</f>
        <v>809</v>
      </c>
      <c r="G460" s="7" cm="1">
        <f t="array" ref="G460">_xlfn.XLOOKUP(1, (Лист1!$A460=Лист2!$A$2:$A$505)*(Лист1!$B460=Лист2!$B$2:$B$505),Лист2!$E$2:$E$505)</f>
        <v>702</v>
      </c>
      <c r="H460">
        <f t="shared" si="42"/>
        <v>80763.8</v>
      </c>
      <c r="I460">
        <f t="shared" si="43"/>
        <v>22</v>
      </c>
      <c r="J460">
        <f t="shared" si="44"/>
        <v>15.571428571428571</v>
      </c>
      <c r="K460">
        <f t="shared" si="45"/>
        <v>77799.990825688074</v>
      </c>
      <c r="L460">
        <f t="shared" si="46"/>
        <v>15.151515151515152</v>
      </c>
      <c r="M460">
        <f t="shared" si="47"/>
        <v>79956.161999999997</v>
      </c>
      <c r="O460" s="15"/>
      <c r="P460" s="15"/>
    </row>
    <row r="461" spans="1:16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 cm="1">
        <f t="array" ref="E461">_xlfn.XLOOKUP(1, (Лист1!$A461=Лист2!$A$2:$A$505)*(Лист1!$B461=Лист2!$B$2:$B$505),Лист2!$C$2:$C$505)</f>
        <v>15</v>
      </c>
      <c r="F461" s="7" cm="1">
        <f t="array" ref="F461">_xlfn.XLOOKUP(1, (Лист1!$A461=Лист2!$A$2:$A$505)*(Лист1!$B461=Лист2!$B$2:$B$505),Лист2!$D$2:$D$505)</f>
        <v>903</v>
      </c>
      <c r="G461" s="7" cm="1">
        <f t="array" ref="G461">_xlfn.XLOOKUP(1, (Лист1!$A461=Лист2!$A$2:$A$505)*(Лист1!$B461=Лист2!$B$2:$B$505),Лист2!$E$2:$E$505)</f>
        <v>792</v>
      </c>
      <c r="H461">
        <f t="shared" si="42"/>
        <v>94127.3</v>
      </c>
      <c r="I461">
        <f t="shared" si="43"/>
        <v>21</v>
      </c>
      <c r="J461">
        <f t="shared" si="44"/>
        <v>15</v>
      </c>
      <c r="K461">
        <f t="shared" si="45"/>
        <v>94127.3</v>
      </c>
      <c r="L461">
        <f t="shared" si="46"/>
        <v>15.151515151515152</v>
      </c>
      <c r="M461">
        <f t="shared" si="47"/>
        <v>93186.027000000002</v>
      </c>
      <c r="O461" s="15"/>
      <c r="P461" s="15"/>
    </row>
    <row r="462" spans="1:16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 cm="1">
        <f t="array" ref="E462">_xlfn.XLOOKUP(1, (Лист1!$A462=Лист2!$A$2:$A$505)*(Лист1!$B462=Лист2!$B$2:$B$505),Лист2!$C$2:$C$505)</f>
        <v>16</v>
      </c>
      <c r="F462" s="7" cm="1">
        <f t="array" ref="F462">_xlfn.XLOOKUP(1, (Лист1!$A462=Лист2!$A$2:$A$505)*(Лист1!$B462=Лист2!$B$2:$B$505),Лист2!$D$2:$D$505)</f>
        <v>1019</v>
      </c>
      <c r="G462" s="7" cm="1">
        <f t="array" ref="G462">_xlfn.XLOOKUP(1, (Лист1!$A462=Лист2!$A$2:$A$505)*(Лист1!$B462=Лист2!$B$2:$B$505),Лист2!$E$2:$E$505)</f>
        <v>895</v>
      </c>
      <c r="H462">
        <f t="shared" si="42"/>
        <v>97852.03125</v>
      </c>
      <c r="I462">
        <f t="shared" si="43"/>
        <v>23</v>
      </c>
      <c r="J462">
        <f t="shared" si="44"/>
        <v>16</v>
      </c>
      <c r="K462">
        <f t="shared" si="45"/>
        <v>97852.03125</v>
      </c>
      <c r="L462">
        <f t="shared" si="46"/>
        <v>15.151515151515152</v>
      </c>
      <c r="M462">
        <f t="shared" si="47"/>
        <v>103331.745</v>
      </c>
      <c r="O462" s="15"/>
      <c r="P462" s="15"/>
    </row>
    <row r="463" spans="1:16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 cm="1">
        <f t="array" ref="E463">_xlfn.XLOOKUP(1, (Лист1!$A463=Лист2!$A$2:$A$505)*(Лист1!$B463=Лист2!$B$2:$B$505),Лист2!$C$2:$C$505)</f>
        <v>15</v>
      </c>
      <c r="F463" s="7" cm="1">
        <f t="array" ref="F463">_xlfn.XLOOKUP(1, (Лист1!$A463=Лист2!$A$2:$A$505)*(Лист1!$B463=Лист2!$B$2:$B$505),Лист2!$D$2:$D$505)</f>
        <v>684</v>
      </c>
      <c r="G463" s="7" cm="1">
        <f t="array" ref="G463">_xlfn.XLOOKUP(1, (Лист1!$A463=Лист2!$A$2:$A$505)*(Лист1!$B463=Лист2!$B$2:$B$505),Лист2!$E$2:$E$505)</f>
        <v>585</v>
      </c>
      <c r="H463">
        <f t="shared" si="42"/>
        <v>72077.2</v>
      </c>
      <c r="I463">
        <f t="shared" si="43"/>
        <v>20</v>
      </c>
      <c r="J463">
        <f t="shared" si="44"/>
        <v>15</v>
      </c>
      <c r="K463">
        <f t="shared" si="45"/>
        <v>72077.2</v>
      </c>
      <c r="L463">
        <f t="shared" si="46"/>
        <v>15.151515151515152</v>
      </c>
      <c r="M463">
        <f t="shared" si="47"/>
        <v>71356.428</v>
      </c>
      <c r="O463" s="15"/>
      <c r="P463" s="15"/>
    </row>
    <row r="464" spans="1:16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 cm="1">
        <f t="array" ref="E464">_xlfn.XLOOKUP(1, (Лист1!$A464=Лист2!$A$2:$A$505)*(Лист1!$B464=Лист2!$B$2:$B$505),Лист2!$C$2:$C$505)</f>
        <v>17</v>
      </c>
      <c r="F464" s="7" cm="1">
        <f t="array" ref="F464">_xlfn.XLOOKUP(1, (Лист1!$A464=Лист2!$A$2:$A$505)*(Лист1!$B464=Лист2!$B$2:$B$505),Лист2!$D$2:$D$505)</f>
        <v>1296</v>
      </c>
      <c r="G464" s="7" cm="1">
        <f t="array" ref="G464">_xlfn.XLOOKUP(1, (Лист1!$A464=Лист2!$A$2:$A$505)*(Лист1!$B464=Лист2!$B$2:$B$505),Лист2!$E$2:$E$505)</f>
        <v>1153</v>
      </c>
      <c r="H464">
        <f t="shared" si="42"/>
        <v>103804.05882352941</v>
      </c>
      <c r="I464">
        <f t="shared" si="43"/>
        <v>22</v>
      </c>
      <c r="J464">
        <f t="shared" si="44"/>
        <v>17</v>
      </c>
      <c r="K464">
        <f t="shared" si="45"/>
        <v>103804.05882352941</v>
      </c>
      <c r="L464">
        <f t="shared" si="46"/>
        <v>15.771428571428572</v>
      </c>
      <c r="M464">
        <f t="shared" si="47"/>
        <v>111890.24456521739</v>
      </c>
      <c r="O464" s="15"/>
      <c r="P464" s="15"/>
    </row>
    <row r="465" spans="1:16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 cm="1">
        <f t="array" ref="E465">_xlfn.XLOOKUP(1, (Лист1!$A465=Лист2!$A$2:$A$505)*(Лист1!$B465=Лист2!$B$2:$B$505),Лист2!$C$2:$C$505)</f>
        <v>15</v>
      </c>
      <c r="F465" s="7" cm="1">
        <f t="array" ref="F465">_xlfn.XLOOKUP(1, (Лист1!$A465=Лист2!$A$2:$A$505)*(Лист1!$B465=Лист2!$B$2:$B$505),Лист2!$D$2:$D$505)</f>
        <v>729</v>
      </c>
      <c r="G465" s="7" cm="1">
        <f t="array" ref="G465">_xlfn.XLOOKUP(1, (Лист1!$A465=Лист2!$A$2:$A$505)*(Лист1!$B465=Лист2!$B$2:$B$505),Лист2!$E$2:$E$505)</f>
        <v>636</v>
      </c>
      <c r="H465">
        <f t="shared" si="42"/>
        <v>74343.100000000006</v>
      </c>
      <c r="I465">
        <f t="shared" si="43"/>
        <v>21</v>
      </c>
      <c r="J465">
        <f t="shared" si="44"/>
        <v>15</v>
      </c>
      <c r="K465">
        <f t="shared" si="45"/>
        <v>74343.100000000006</v>
      </c>
      <c r="L465">
        <f t="shared" si="46"/>
        <v>15.151515151515152</v>
      </c>
      <c r="M465">
        <f t="shared" si="47"/>
        <v>73599.668999999994</v>
      </c>
      <c r="O465" s="15"/>
      <c r="P465" s="15"/>
    </row>
    <row r="466" spans="1:16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 cm="1">
        <f t="array" ref="E466">_xlfn.XLOOKUP(1, (Лист1!$A466=Лист2!$A$2:$A$505)*(Лист1!$B466=Лист2!$B$2:$B$505),Лист2!$C$2:$C$505)</f>
        <v>15</v>
      </c>
      <c r="F466" s="7" cm="1">
        <f t="array" ref="F466">_xlfn.XLOOKUP(1, (Лист1!$A466=Лист2!$A$2:$A$505)*(Лист1!$B466=Лист2!$B$2:$B$505),Лист2!$D$2:$D$505)</f>
        <v>638</v>
      </c>
      <c r="G466" s="7" cm="1">
        <f t="array" ref="G466">_xlfn.XLOOKUP(1, (Лист1!$A466=Лист2!$A$2:$A$505)*(Лист1!$B466=Лист2!$B$2:$B$505),Лист2!$E$2:$E$505)</f>
        <v>548</v>
      </c>
      <c r="H466">
        <f t="shared" si="42"/>
        <v>64233.5</v>
      </c>
      <c r="I466">
        <f t="shared" si="43"/>
        <v>20</v>
      </c>
      <c r="J466">
        <f t="shared" si="44"/>
        <v>15</v>
      </c>
      <c r="K466">
        <f t="shared" si="45"/>
        <v>64233.5</v>
      </c>
      <c r="L466">
        <f t="shared" si="46"/>
        <v>15.151515151515152</v>
      </c>
      <c r="M466">
        <f t="shared" si="47"/>
        <v>63591.164999999994</v>
      </c>
      <c r="O466" s="15"/>
      <c r="P466" s="15"/>
    </row>
    <row r="467" spans="1:16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 cm="1">
        <f t="array" ref="E467">_xlfn.XLOOKUP(1, (Лист1!$A467=Лист2!$A$2:$A$505)*(Лист1!$B467=Лист2!$B$2:$B$505),Лист2!$C$2:$C$505)</f>
        <v>15</v>
      </c>
      <c r="F467" s="7" cm="1">
        <f t="array" ref="F467">_xlfn.XLOOKUP(1, (Лист1!$A467=Лист2!$A$2:$A$505)*(Лист1!$B467=Лист2!$B$2:$B$505),Лист2!$D$2:$D$505)</f>
        <v>688</v>
      </c>
      <c r="G467" s="7" cm="1">
        <f t="array" ref="G467">_xlfn.XLOOKUP(1, (Лист1!$A467=Лист2!$A$2:$A$505)*(Лист1!$B467=Лист2!$B$2:$B$505),Лист2!$E$2:$E$505)</f>
        <v>598</v>
      </c>
      <c r="H467">
        <f t="shared" si="42"/>
        <v>74848.7</v>
      </c>
      <c r="I467">
        <f t="shared" si="43"/>
        <v>20</v>
      </c>
      <c r="J467">
        <f t="shared" si="44"/>
        <v>15</v>
      </c>
      <c r="K467">
        <f t="shared" si="45"/>
        <v>74848.7</v>
      </c>
      <c r="L467">
        <f t="shared" si="46"/>
        <v>15.151515151515152</v>
      </c>
      <c r="M467">
        <f t="shared" si="47"/>
        <v>74100.213000000003</v>
      </c>
      <c r="O467" s="15"/>
      <c r="P467" s="15"/>
    </row>
    <row r="468" spans="1:16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 cm="1">
        <f t="array" ref="E468">_xlfn.XLOOKUP(1, (Лист1!$A468=Лист2!$A$2:$A$505)*(Лист1!$B468=Лист2!$B$2:$B$505),Лист2!$C$2:$C$505)</f>
        <v>20</v>
      </c>
      <c r="F468" s="7" cm="1">
        <f t="array" ref="F468">_xlfn.XLOOKUP(1, (Лист1!$A468=Лист2!$A$2:$A$505)*(Лист1!$B468=Лист2!$B$2:$B$505),Лист2!$D$2:$D$505)</f>
        <v>1873</v>
      </c>
      <c r="G468" s="7" cm="1">
        <f t="array" ref="G468">_xlfn.XLOOKUP(1, (Лист1!$A468=Лист2!$A$2:$A$505)*(Лист1!$B468=Лист2!$B$2:$B$505),Лист2!$E$2:$E$505)</f>
        <v>1715</v>
      </c>
      <c r="H468">
        <f t="shared" si="42"/>
        <v>122927.77499999999</v>
      </c>
      <c r="I468">
        <f t="shared" si="43"/>
        <v>22</v>
      </c>
      <c r="J468">
        <f t="shared" si="44"/>
        <v>20.142857142857142</v>
      </c>
      <c r="K468">
        <f t="shared" si="45"/>
        <v>122055.94680851063</v>
      </c>
      <c r="L468">
        <f t="shared" si="46"/>
        <v>19.228571428571428</v>
      </c>
      <c r="M468">
        <f t="shared" si="47"/>
        <v>127859.4985141159</v>
      </c>
      <c r="O468" s="15"/>
      <c r="P468" s="15"/>
    </row>
    <row r="469" spans="1:16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 cm="1">
        <f t="array" ref="E469">_xlfn.XLOOKUP(1, (Лист1!$A469=Лист2!$A$2:$A$505)*(Лист1!$B469=Лист2!$B$2:$B$505),Лист2!$C$2:$C$505)</f>
        <v>19</v>
      </c>
      <c r="F469" s="7" cm="1">
        <f t="array" ref="F469">_xlfn.XLOOKUP(1, (Лист1!$A469=Лист2!$A$2:$A$505)*(Лист1!$B469=Лист2!$B$2:$B$505),Лист2!$D$2:$D$505)</f>
        <v>1859</v>
      </c>
      <c r="G469" s="7" cm="1">
        <f t="array" ref="G469">_xlfn.XLOOKUP(1, (Лист1!$A469=Лист2!$A$2:$A$505)*(Лист1!$B469=Лист2!$B$2:$B$505),Лист2!$E$2:$E$505)</f>
        <v>1697</v>
      </c>
      <c r="H469">
        <f t="shared" si="42"/>
        <v>133721.84210526315</v>
      </c>
      <c r="I469">
        <f t="shared" si="43"/>
        <v>21</v>
      </c>
      <c r="J469">
        <f t="shared" si="44"/>
        <v>19</v>
      </c>
      <c r="K469">
        <f t="shared" si="45"/>
        <v>133721.84210526315</v>
      </c>
      <c r="L469">
        <f t="shared" si="46"/>
        <v>19.228571428571428</v>
      </c>
      <c r="M469">
        <f t="shared" si="47"/>
        <v>132132.2808320951</v>
      </c>
      <c r="O469" s="15"/>
      <c r="P469" s="15"/>
    </row>
    <row r="470" spans="1:16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 cm="1">
        <f t="array" ref="E470">_xlfn.XLOOKUP(1, (Лист1!$A470=Лист2!$A$2:$A$505)*(Лист1!$B470=Лист2!$B$2:$B$505),Лист2!$C$2:$C$505)</f>
        <v>21</v>
      </c>
      <c r="F470" s="7" cm="1">
        <f t="array" ref="F470">_xlfn.XLOOKUP(1, (Лист1!$A470=Лист2!$A$2:$A$505)*(Лист1!$B470=Лист2!$B$2:$B$505),Лист2!$D$2:$D$505)</f>
        <v>1879</v>
      </c>
      <c r="G470" s="7" cm="1">
        <f t="array" ref="G470">_xlfn.XLOOKUP(1, (Лист1!$A470=Лист2!$A$2:$A$505)*(Лист1!$B470=Лист2!$B$2:$B$505),Лист2!$E$2:$E$505)</f>
        <v>1720</v>
      </c>
      <c r="H470">
        <f t="shared" si="42"/>
        <v>120903.21428571429</v>
      </c>
      <c r="I470">
        <f t="shared" si="43"/>
        <v>23</v>
      </c>
      <c r="J470">
        <f t="shared" si="44"/>
        <v>21</v>
      </c>
      <c r="K470">
        <f t="shared" si="45"/>
        <v>120903.21428571429</v>
      </c>
      <c r="L470">
        <f t="shared" si="46"/>
        <v>19.228571428571428</v>
      </c>
      <c r="M470">
        <f t="shared" si="47"/>
        <v>132041.40044576523</v>
      </c>
      <c r="O470" s="15"/>
      <c r="P470" s="15"/>
    </row>
    <row r="471" spans="1:16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 cm="1">
        <f t="array" ref="E471">_xlfn.XLOOKUP(1, (Лист1!$A471=Лист2!$A$2:$A$505)*(Лист1!$B471=Лист2!$B$2:$B$505),Лист2!$C$2:$C$505)</f>
        <v>19</v>
      </c>
      <c r="F471" s="7" cm="1">
        <f t="array" ref="F471">_xlfn.XLOOKUP(1, (Лист1!$A471=Лист2!$A$2:$A$505)*(Лист1!$B471=Лист2!$B$2:$B$505),Лист2!$D$2:$D$505)</f>
        <v>1527</v>
      </c>
      <c r="G471" s="7" cm="1">
        <f t="array" ref="G471">_xlfn.XLOOKUP(1, (Лист1!$A471=Лист2!$A$2:$A$505)*(Лист1!$B471=Лист2!$B$2:$B$505),Лист2!$E$2:$E$505)</f>
        <v>1389</v>
      </c>
      <c r="H471">
        <f t="shared" si="42"/>
        <v>113913.94736842105</v>
      </c>
      <c r="I471">
        <f t="shared" si="43"/>
        <v>20</v>
      </c>
      <c r="J471">
        <f t="shared" si="44"/>
        <v>19</v>
      </c>
      <c r="K471">
        <f t="shared" si="45"/>
        <v>113913.94736842105</v>
      </c>
      <c r="L471">
        <f t="shared" si="46"/>
        <v>19.228571428571428</v>
      </c>
      <c r="M471">
        <f t="shared" si="47"/>
        <v>112559.84398216939</v>
      </c>
      <c r="O471" s="15"/>
      <c r="P471" s="15"/>
    </row>
    <row r="472" spans="1:16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 cm="1">
        <f t="array" ref="E472">_xlfn.XLOOKUP(1, (Лист1!$A472=Лист2!$A$2:$A$505)*(Лист1!$B472=Лист2!$B$2:$B$505),Лист2!$C$2:$C$505)</f>
        <v>16</v>
      </c>
      <c r="F472" s="7" cm="1">
        <f t="array" ref="F472">_xlfn.XLOOKUP(1, (Лист1!$A472=Лист2!$A$2:$A$505)*(Лист1!$B472=Лист2!$B$2:$B$505),Лист2!$D$2:$D$505)</f>
        <v>981</v>
      </c>
      <c r="G472" s="7" cm="1">
        <f t="array" ref="G472">_xlfn.XLOOKUP(1, (Лист1!$A472=Лист2!$A$2:$A$505)*(Лист1!$B472=Лист2!$B$2:$B$505),Лист2!$E$2:$E$505)</f>
        <v>859</v>
      </c>
      <c r="H472">
        <f t="shared" si="42"/>
        <v>96813.75</v>
      </c>
      <c r="I472">
        <f t="shared" si="43"/>
        <v>22</v>
      </c>
      <c r="J472">
        <f t="shared" si="44"/>
        <v>15.571428571428571</v>
      </c>
      <c r="K472">
        <f t="shared" si="45"/>
        <v>99478.348623853206</v>
      </c>
      <c r="L472">
        <f t="shared" si="46"/>
        <v>15.151515151515152</v>
      </c>
      <c r="M472">
        <f t="shared" si="47"/>
        <v>102235.31999999999</v>
      </c>
      <c r="O472" s="15"/>
      <c r="P472" s="15"/>
    </row>
    <row r="473" spans="1:16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 cm="1">
        <f t="array" ref="E473">_xlfn.XLOOKUP(1, (Лист1!$A473=Лист2!$A$2:$A$505)*(Лист1!$B473=Лист2!$B$2:$B$505),Лист2!$C$2:$C$505)</f>
        <v>19</v>
      </c>
      <c r="F473" s="7" cm="1">
        <f t="array" ref="F473">_xlfn.XLOOKUP(1, (Лист1!$A473=Лист2!$A$2:$A$505)*(Лист1!$B473=Лист2!$B$2:$B$505),Лист2!$D$2:$D$505)</f>
        <v>1741</v>
      </c>
      <c r="G473" s="7" cm="1">
        <f t="array" ref="G473">_xlfn.XLOOKUP(1, (Лист1!$A473=Лист2!$A$2:$A$505)*(Лист1!$B473=Лист2!$B$2:$B$505),Лист2!$E$2:$E$505)</f>
        <v>1597</v>
      </c>
      <c r="H473">
        <f t="shared" si="42"/>
        <v>122341.57894736843</v>
      </c>
      <c r="I473">
        <f t="shared" si="43"/>
        <v>21</v>
      </c>
      <c r="J473">
        <f t="shared" si="44"/>
        <v>19</v>
      </c>
      <c r="K473">
        <f t="shared" si="45"/>
        <v>122341.57894736843</v>
      </c>
      <c r="L473">
        <f t="shared" si="46"/>
        <v>19.228571428571428</v>
      </c>
      <c r="M473">
        <f t="shared" si="47"/>
        <v>120887.29569093611</v>
      </c>
      <c r="O473" s="15"/>
      <c r="P473" s="15"/>
    </row>
    <row r="474" spans="1:16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 cm="1">
        <f t="array" ref="E474">_xlfn.XLOOKUP(1, (Лист1!$A474=Лист2!$A$2:$A$505)*(Лист1!$B474=Лист2!$B$2:$B$505),Лист2!$C$2:$C$505)</f>
        <v>19</v>
      </c>
      <c r="F474" s="7" cm="1">
        <f t="array" ref="F474">_xlfn.XLOOKUP(1, (Лист1!$A474=Лист2!$A$2:$A$505)*(Лист1!$B474=Лист2!$B$2:$B$505),Лист2!$D$2:$D$505)</f>
        <v>1635</v>
      </c>
      <c r="G474" s="7" cm="1">
        <f t="array" ref="G474">_xlfn.XLOOKUP(1, (Лист1!$A474=Лист2!$A$2:$A$505)*(Лист1!$B474=Лист2!$B$2:$B$505),Лист2!$E$2:$E$505)</f>
        <v>1487</v>
      </c>
      <c r="H474">
        <f t="shared" si="42"/>
        <v>117123.23684210527</v>
      </c>
      <c r="I474">
        <f t="shared" si="43"/>
        <v>20</v>
      </c>
      <c r="J474">
        <f t="shared" si="44"/>
        <v>19</v>
      </c>
      <c r="K474">
        <f t="shared" si="45"/>
        <v>117123.23684210527</v>
      </c>
      <c r="L474">
        <f t="shared" si="46"/>
        <v>19.228571428571428</v>
      </c>
      <c r="M474">
        <f t="shared" si="47"/>
        <v>115730.98439821694</v>
      </c>
      <c r="O474" s="15"/>
      <c r="P474" s="15"/>
    </row>
    <row r="475" spans="1:16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 cm="1">
        <f t="array" ref="E475">_xlfn.XLOOKUP(1, (Лист1!$A475=Лист2!$A$2:$A$505)*(Лист1!$B475=Лист2!$B$2:$B$505),Лист2!$C$2:$C$505)</f>
        <v>19</v>
      </c>
      <c r="F475" s="7" cm="1">
        <f t="array" ref="F475">_xlfn.XLOOKUP(1, (Лист1!$A475=Лист2!$A$2:$A$505)*(Лист1!$B475=Лист2!$B$2:$B$505),Лист2!$D$2:$D$505)</f>
        <v>1780</v>
      </c>
      <c r="G475" s="7" cm="1">
        <f t="array" ref="G475">_xlfn.XLOOKUP(1, (Лист1!$A475=Лист2!$A$2:$A$505)*(Лист1!$B475=Лист2!$B$2:$B$505),Лист2!$E$2:$E$505)</f>
        <v>1615</v>
      </c>
      <c r="H475">
        <f t="shared" si="42"/>
        <v>130394.05263157895</v>
      </c>
      <c r="I475">
        <f t="shared" si="43"/>
        <v>20</v>
      </c>
      <c r="J475">
        <f t="shared" si="44"/>
        <v>19</v>
      </c>
      <c r="K475">
        <f t="shared" si="45"/>
        <v>130394.05263157895</v>
      </c>
      <c r="L475">
        <f t="shared" si="46"/>
        <v>19.228571428571428</v>
      </c>
      <c r="M475">
        <f t="shared" si="47"/>
        <v>128844.04903417535</v>
      </c>
      <c r="O475" s="15"/>
      <c r="P475" s="15"/>
    </row>
    <row r="476" spans="1:16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 cm="1">
        <f t="array" ref="E476">_xlfn.XLOOKUP(1, (Лист1!$A476=Лист2!$A$2:$A$505)*(Лист1!$B476=Лист2!$B$2:$B$505),Лист2!$C$2:$C$505)</f>
        <v>20</v>
      </c>
      <c r="F476" s="7" cm="1">
        <f t="array" ref="F476">_xlfn.XLOOKUP(1, (Лист1!$A476=Лист2!$A$2:$A$505)*(Лист1!$B476=Лист2!$B$2:$B$505),Лист2!$D$2:$D$505)</f>
        <v>2064</v>
      </c>
      <c r="G476" s="7" cm="1">
        <f t="array" ref="G476">_xlfn.XLOOKUP(1, (Лист1!$A476=Лист2!$A$2:$A$505)*(Лист1!$B476=Лист2!$B$2:$B$505),Лист2!$E$2:$E$505)</f>
        <v>1896</v>
      </c>
      <c r="H476">
        <f t="shared" si="42"/>
        <v>142737.07500000001</v>
      </c>
      <c r="I476">
        <f t="shared" si="43"/>
        <v>22</v>
      </c>
      <c r="J476">
        <f t="shared" si="44"/>
        <v>20.142857142857142</v>
      </c>
      <c r="K476">
        <f t="shared" si="45"/>
        <v>141724.75531914894</v>
      </c>
      <c r="L476">
        <f t="shared" si="46"/>
        <v>19.228571428571428</v>
      </c>
      <c r="M476">
        <f t="shared" si="47"/>
        <v>148463.52526002971</v>
      </c>
      <c r="O476" s="15"/>
      <c r="P476" s="15"/>
    </row>
    <row r="477" spans="1:16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 cm="1">
        <f t="array" ref="E477">_xlfn.XLOOKUP(1, (Лист1!$A477=Лист2!$A$2:$A$505)*(Лист1!$B477=Лист2!$B$2:$B$505),Лист2!$C$2:$C$505)</f>
        <v>59</v>
      </c>
      <c r="F477" s="7" cm="1">
        <f t="array" ref="F477">_xlfn.XLOOKUP(1, (Лист1!$A477=Лист2!$A$2:$A$505)*(Лист1!$B477=Лист2!$B$2:$B$505),Лист2!$D$2:$D$505)</f>
        <v>13942</v>
      </c>
      <c r="G477" s="7" cm="1">
        <f t="array" ref="G477">_xlfn.XLOOKUP(1, (Лист1!$A477=Лист2!$A$2:$A$505)*(Лист1!$B477=Лист2!$B$2:$B$505),Лист2!$E$2:$E$505)</f>
        <v>12986</v>
      </c>
      <c r="H477">
        <f t="shared" si="42"/>
        <v>378683.05932203389</v>
      </c>
      <c r="I477">
        <f t="shared" si="43"/>
        <v>22</v>
      </c>
      <c r="J477">
        <f t="shared" si="44"/>
        <v>59.142857142857146</v>
      </c>
      <c r="K477">
        <f t="shared" si="45"/>
        <v>377768.36594202899</v>
      </c>
      <c r="L477">
        <f t="shared" si="46"/>
        <v>59.428571428571431</v>
      </c>
      <c r="M477">
        <f t="shared" si="47"/>
        <v>375952.171875</v>
      </c>
      <c r="O477" s="15"/>
      <c r="P477" s="15"/>
    </row>
    <row r="478" spans="1:16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 cm="1">
        <f t="array" ref="E478">_xlfn.XLOOKUP(1, (Лист1!$A478=Лист2!$A$2:$A$505)*(Лист1!$B478=Лист2!$B$2:$B$505),Лист2!$C$2:$C$505)</f>
        <v>60</v>
      </c>
      <c r="F478" s="7" cm="1">
        <f t="array" ref="F478">_xlfn.XLOOKUP(1, (Лист1!$A478=Лист2!$A$2:$A$505)*(Лист1!$B478=Лист2!$B$2:$B$505),Лист2!$D$2:$D$505)</f>
        <v>14050</v>
      </c>
      <c r="G478" s="7" cm="1">
        <f t="array" ref="G478">_xlfn.XLOOKUP(1, (Лист1!$A478=Лист2!$A$2:$A$505)*(Лист1!$B478=Лист2!$B$2:$B$505),Лист2!$E$2:$E$505)</f>
        <v>13027</v>
      </c>
      <c r="H478">
        <f t="shared" si="42"/>
        <v>373012.875</v>
      </c>
      <c r="I478">
        <f t="shared" si="43"/>
        <v>21</v>
      </c>
      <c r="J478">
        <f t="shared" si="44"/>
        <v>60</v>
      </c>
      <c r="K478">
        <f t="shared" si="45"/>
        <v>373012.875</v>
      </c>
      <c r="L478">
        <f t="shared" si="46"/>
        <v>59.428571428571431</v>
      </c>
      <c r="M478">
        <f t="shared" si="47"/>
        <v>376599.53725961538</v>
      </c>
      <c r="O478" s="15"/>
      <c r="P478" s="15"/>
    </row>
    <row r="479" spans="1:16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 cm="1">
        <f t="array" ref="E479">_xlfn.XLOOKUP(1, (Лист1!$A479=Лист2!$A$2:$A$505)*(Лист1!$B479=Лист2!$B$2:$B$505),Лист2!$C$2:$C$505)</f>
        <v>59</v>
      </c>
      <c r="F479" s="7" cm="1">
        <f t="array" ref="F479">_xlfn.XLOOKUP(1, (Лист1!$A479=Лист2!$A$2:$A$505)*(Лист1!$B479=Лист2!$B$2:$B$505),Лист2!$D$2:$D$505)</f>
        <v>12299</v>
      </c>
      <c r="G479" s="7" cm="1">
        <f t="array" ref="G479">_xlfn.XLOOKUP(1, (Лист1!$A479=Лист2!$A$2:$A$505)*(Лист1!$B479=Лист2!$B$2:$B$505),Лист2!$E$2:$E$505)</f>
        <v>11448</v>
      </c>
      <c r="H479">
        <f t="shared" si="42"/>
        <v>329921.56779661018</v>
      </c>
      <c r="I479">
        <f t="shared" si="43"/>
        <v>23</v>
      </c>
      <c r="J479">
        <f t="shared" si="44"/>
        <v>59</v>
      </c>
      <c r="K479">
        <f t="shared" si="45"/>
        <v>329921.56779661018</v>
      </c>
      <c r="L479">
        <f t="shared" si="46"/>
        <v>59.428571428571431</v>
      </c>
      <c r="M479">
        <f t="shared" si="47"/>
        <v>327542.32572115381</v>
      </c>
      <c r="O479" s="15"/>
      <c r="P479" s="15"/>
    </row>
    <row r="480" spans="1:16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 cm="1">
        <f t="array" ref="E480">_xlfn.XLOOKUP(1, (Лист1!$A480=Лист2!$A$2:$A$505)*(Лист1!$B480=Лист2!$B$2:$B$505),Лист2!$C$2:$C$505)</f>
        <v>60</v>
      </c>
      <c r="F480" s="7" cm="1">
        <f t="array" ref="F480">_xlfn.XLOOKUP(1, (Лист1!$A480=Лист2!$A$2:$A$505)*(Лист1!$B480=Лист2!$B$2:$B$505),Лист2!$D$2:$D$505)</f>
        <v>11100</v>
      </c>
      <c r="G480" s="7" cm="1">
        <f t="array" ref="G480">_xlfn.XLOOKUP(1, (Лист1!$A480=Лист2!$A$2:$A$505)*(Лист1!$B480=Лист2!$B$2:$B$505),Лист2!$E$2:$E$505)</f>
        <v>10407</v>
      </c>
      <c r="H480">
        <f t="shared" si="42"/>
        <v>298652.40000000002</v>
      </c>
      <c r="I480">
        <f t="shared" si="43"/>
        <v>20</v>
      </c>
      <c r="J480">
        <f t="shared" si="44"/>
        <v>60</v>
      </c>
      <c r="K480">
        <f t="shared" si="45"/>
        <v>298652.40000000002</v>
      </c>
      <c r="L480">
        <f t="shared" si="46"/>
        <v>59.428571428571431</v>
      </c>
      <c r="M480">
        <f t="shared" si="47"/>
        <v>301524.05769230769</v>
      </c>
      <c r="O480" s="15"/>
      <c r="P480" s="15"/>
    </row>
    <row r="481" spans="1:16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 cm="1">
        <f t="array" ref="E481">_xlfn.XLOOKUP(1, (Лист1!$A481=Лист2!$A$2:$A$505)*(Лист1!$B481=Лист2!$B$2:$B$505),Лист2!$C$2:$C$505)</f>
        <v>60</v>
      </c>
      <c r="F481" s="7" cm="1">
        <f t="array" ref="F481">_xlfn.XLOOKUP(1, (Лист1!$A481=Лист2!$A$2:$A$505)*(Лист1!$B481=Лист2!$B$2:$B$505),Лист2!$D$2:$D$505)</f>
        <v>12460</v>
      </c>
      <c r="G481" s="7" cm="1">
        <f t="array" ref="G481">_xlfn.XLOOKUP(1, (Лист1!$A481=Лист2!$A$2:$A$505)*(Лист1!$B481=Лист2!$B$2:$B$505),Лист2!$E$2:$E$505)</f>
        <v>11665</v>
      </c>
      <c r="H481">
        <f t="shared" si="42"/>
        <v>340373.92499999999</v>
      </c>
      <c r="I481">
        <f t="shared" si="43"/>
        <v>21</v>
      </c>
      <c r="J481">
        <f t="shared" si="44"/>
        <v>60</v>
      </c>
      <c r="K481">
        <f t="shared" si="45"/>
        <v>340373.92499999999</v>
      </c>
      <c r="L481">
        <f t="shared" si="46"/>
        <v>59.428571428571431</v>
      </c>
      <c r="M481">
        <f t="shared" si="47"/>
        <v>343646.75120192306</v>
      </c>
      <c r="O481" s="15"/>
      <c r="P481" s="15"/>
    </row>
    <row r="482" spans="1:16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 cm="1">
        <f t="array" ref="E482">_xlfn.XLOOKUP(1, (Лист1!$A482=Лист2!$A$2:$A$505)*(Лист1!$B482=Лист2!$B$2:$B$505),Лист2!$C$2:$C$505)</f>
        <v>60</v>
      </c>
      <c r="F482" s="7" cm="1">
        <f t="array" ref="F482">_xlfn.XLOOKUP(1, (Лист1!$A482=Лист2!$A$2:$A$505)*(Лист1!$B482=Лист2!$B$2:$B$505),Лист2!$D$2:$D$505)</f>
        <v>11935</v>
      </c>
      <c r="G482" s="7" cm="1">
        <f t="array" ref="G482">_xlfn.XLOOKUP(1, (Лист1!$A482=Лист2!$A$2:$A$505)*(Лист1!$B482=Лист2!$B$2:$B$505),Лист2!$E$2:$E$505)</f>
        <v>11178</v>
      </c>
      <c r="H482">
        <f t="shared" si="42"/>
        <v>332373.92499999999</v>
      </c>
      <c r="I482">
        <f t="shared" si="43"/>
        <v>20</v>
      </c>
      <c r="J482">
        <f t="shared" si="44"/>
        <v>60</v>
      </c>
      <c r="K482">
        <f t="shared" si="45"/>
        <v>332373.92499999999</v>
      </c>
      <c r="L482">
        <f t="shared" si="46"/>
        <v>59.428571428571431</v>
      </c>
      <c r="M482">
        <f t="shared" si="47"/>
        <v>335569.828125</v>
      </c>
      <c r="O482" s="15"/>
      <c r="P482" s="15"/>
    </row>
    <row r="483" spans="1:16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 cm="1">
        <f t="array" ref="E483">_xlfn.XLOOKUP(1, (Лист1!$A483=Лист2!$A$2:$A$505)*(Лист1!$B483=Лист2!$B$2:$B$505),Лист2!$C$2:$C$505)</f>
        <v>60</v>
      </c>
      <c r="F483" s="7" cm="1">
        <f t="array" ref="F483">_xlfn.XLOOKUP(1, (Лист1!$A483=Лист2!$A$2:$A$505)*(Лист1!$B483=Лист2!$B$2:$B$505),Лист2!$D$2:$D$505)</f>
        <v>13544</v>
      </c>
      <c r="G483" s="7" cm="1">
        <f t="array" ref="G483">_xlfn.XLOOKUP(1, (Лист1!$A483=Лист2!$A$2:$A$505)*(Лист1!$B483=Лист2!$B$2:$B$505),Лист2!$E$2:$E$505)</f>
        <v>12643</v>
      </c>
      <c r="H483">
        <f t="shared" si="42"/>
        <v>384753.7</v>
      </c>
      <c r="I483">
        <f t="shared" si="43"/>
        <v>20</v>
      </c>
      <c r="J483">
        <f t="shared" si="44"/>
        <v>60</v>
      </c>
      <c r="K483">
        <f t="shared" si="45"/>
        <v>384753.7</v>
      </c>
      <c r="L483">
        <f t="shared" si="46"/>
        <v>59.428571428571431</v>
      </c>
      <c r="M483">
        <f t="shared" si="47"/>
        <v>388453.25480769231</v>
      </c>
      <c r="O483" s="15"/>
      <c r="P483" s="15"/>
    </row>
    <row r="484" spans="1:16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 cm="1">
        <f t="array" ref="E484">_xlfn.XLOOKUP(1, (Лист1!$A484=Лист2!$A$2:$A$505)*(Лист1!$B484=Лист2!$B$2:$B$505),Лист2!$C$2:$C$505)</f>
        <v>54</v>
      </c>
      <c r="F484" s="7" cm="1">
        <f t="array" ref="F484">_xlfn.XLOOKUP(1, (Лист1!$A484=Лист2!$A$2:$A$505)*(Лист1!$B484=Лист2!$B$2:$B$505),Лист2!$D$2:$D$505)</f>
        <v>13091</v>
      </c>
      <c r="G484" s="7" cm="1">
        <f t="array" ref="G484">_xlfn.XLOOKUP(1, (Лист1!$A484=Лист2!$A$2:$A$505)*(Лист1!$B484=Лист2!$B$2:$B$505),Лист2!$E$2:$E$505)</f>
        <v>12216</v>
      </c>
      <c r="H484">
        <f t="shared" si="42"/>
        <v>388024.52777777775</v>
      </c>
      <c r="I484">
        <f t="shared" si="43"/>
        <v>22</v>
      </c>
      <c r="J484">
        <f t="shared" si="44"/>
        <v>54</v>
      </c>
      <c r="K484">
        <f t="shared" si="45"/>
        <v>388024.52777777775</v>
      </c>
      <c r="L484">
        <f t="shared" si="46"/>
        <v>54</v>
      </c>
      <c r="M484">
        <f t="shared" si="47"/>
        <v>388024.52777777775</v>
      </c>
      <c r="O484" s="15"/>
      <c r="P484" s="15"/>
    </row>
    <row r="485" spans="1:16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 cm="1">
        <f t="array" ref="E485">_xlfn.XLOOKUP(1, (Лист1!$A485=Лист2!$A$2:$A$505)*(Лист1!$B485=Лист2!$B$2:$B$505),Лист2!$C$2:$C$505)</f>
        <v>54</v>
      </c>
      <c r="F485" s="7" cm="1">
        <f t="array" ref="F485">_xlfn.XLOOKUP(1, (Лист1!$A485=Лист2!$A$2:$A$505)*(Лист1!$B485=Лист2!$B$2:$B$505),Лист2!$D$2:$D$505)</f>
        <v>13014</v>
      </c>
      <c r="G485" s="7" cm="1">
        <f t="array" ref="G485">_xlfn.XLOOKUP(1, (Лист1!$A485=Лист2!$A$2:$A$505)*(Лист1!$B485=Лист2!$B$2:$B$505),Лист2!$E$2:$E$505)</f>
        <v>12095</v>
      </c>
      <c r="H485">
        <f t="shared" si="42"/>
        <v>385418.25</v>
      </c>
      <c r="I485">
        <f t="shared" si="43"/>
        <v>21</v>
      </c>
      <c r="J485">
        <f t="shared" si="44"/>
        <v>54</v>
      </c>
      <c r="K485">
        <f t="shared" si="45"/>
        <v>385418.25</v>
      </c>
      <c r="L485">
        <f t="shared" si="46"/>
        <v>54</v>
      </c>
      <c r="M485">
        <f t="shared" si="47"/>
        <v>385418.25</v>
      </c>
      <c r="O485" s="15"/>
      <c r="P485" s="15"/>
    </row>
    <row r="486" spans="1:16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 cm="1">
        <f t="array" ref="E486">_xlfn.XLOOKUP(1, (Лист1!$A486=Лист2!$A$2:$A$505)*(Лист1!$B486=Лист2!$B$2:$B$505),Лист2!$C$2:$C$505)</f>
        <v>54</v>
      </c>
      <c r="F486" s="7" cm="1">
        <f t="array" ref="F486">_xlfn.XLOOKUP(1, (Лист1!$A486=Лист2!$A$2:$A$505)*(Лист1!$B486=Лист2!$B$2:$B$505),Лист2!$D$2:$D$505)</f>
        <v>11864</v>
      </c>
      <c r="G486" s="7" cm="1">
        <f t="array" ref="G486">_xlfn.XLOOKUP(1, (Лист1!$A486=Лист2!$A$2:$A$505)*(Лист1!$B486=Лист2!$B$2:$B$505),Лист2!$E$2:$E$505)</f>
        <v>11071</v>
      </c>
      <c r="H486">
        <f t="shared" si="42"/>
        <v>350262.86111111112</v>
      </c>
      <c r="I486">
        <f t="shared" si="43"/>
        <v>23</v>
      </c>
      <c r="J486">
        <f t="shared" si="44"/>
        <v>54</v>
      </c>
      <c r="K486">
        <f t="shared" si="45"/>
        <v>350262.86111111112</v>
      </c>
      <c r="L486">
        <f t="shared" si="46"/>
        <v>54</v>
      </c>
      <c r="M486">
        <f t="shared" si="47"/>
        <v>350262.86111111112</v>
      </c>
      <c r="O486" s="15"/>
      <c r="P486" s="15"/>
    </row>
    <row r="487" spans="1:16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 cm="1">
        <f t="array" ref="E487">_xlfn.XLOOKUP(1, (Лист1!$A487=Лист2!$A$2:$A$505)*(Лист1!$B487=Лист2!$B$2:$B$505),Лист2!$C$2:$C$505)</f>
        <v>54</v>
      </c>
      <c r="F487" s="7" cm="1">
        <f t="array" ref="F487">_xlfn.XLOOKUP(1, (Лист1!$A487=Лист2!$A$2:$A$505)*(Лист1!$B487=Лист2!$B$2:$B$505),Лист2!$D$2:$D$505)</f>
        <v>10570</v>
      </c>
      <c r="G487" s="7" cm="1">
        <f t="array" ref="G487">_xlfn.XLOOKUP(1, (Лист1!$A487=Лист2!$A$2:$A$505)*(Лист1!$B487=Лист2!$B$2:$B$505),Лист2!$E$2:$E$505)</f>
        <v>9926</v>
      </c>
      <c r="H487">
        <f t="shared" si="42"/>
        <v>314282.05555555556</v>
      </c>
      <c r="I487">
        <f t="shared" si="43"/>
        <v>20</v>
      </c>
      <c r="J487">
        <f t="shared" si="44"/>
        <v>54</v>
      </c>
      <c r="K487">
        <f t="shared" si="45"/>
        <v>314282.05555555556</v>
      </c>
      <c r="L487">
        <f t="shared" si="46"/>
        <v>54</v>
      </c>
      <c r="M487">
        <f t="shared" si="47"/>
        <v>314282.05555555556</v>
      </c>
      <c r="O487" s="15"/>
      <c r="P487" s="15"/>
    </row>
    <row r="488" spans="1:16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 cm="1">
        <f t="array" ref="E488">_xlfn.XLOOKUP(1, (Лист1!$A488=Лист2!$A$2:$A$505)*(Лист1!$B488=Лист2!$B$2:$B$505),Лист2!$C$2:$C$505)</f>
        <v>59</v>
      </c>
      <c r="F488" s="7" cm="1">
        <f t="array" ref="F488">_xlfn.XLOOKUP(1, (Лист1!$A488=Лист2!$A$2:$A$505)*(Лист1!$B488=Лист2!$B$2:$B$505),Лист2!$D$2:$D$505)</f>
        <v>14507</v>
      </c>
      <c r="G488" s="7" cm="1">
        <f t="array" ref="G488">_xlfn.XLOOKUP(1, (Лист1!$A488=Лист2!$A$2:$A$505)*(Лист1!$B488=Лист2!$B$2:$B$505),Лист2!$E$2:$E$505)</f>
        <v>13386</v>
      </c>
      <c r="H488">
        <f t="shared" si="42"/>
        <v>391871.92372881353</v>
      </c>
      <c r="I488">
        <f t="shared" si="43"/>
        <v>22</v>
      </c>
      <c r="J488">
        <f t="shared" si="44"/>
        <v>59.142857142857146</v>
      </c>
      <c r="K488">
        <f t="shared" si="45"/>
        <v>390925.37318840576</v>
      </c>
      <c r="L488">
        <f t="shared" si="46"/>
        <v>59.428571428571431</v>
      </c>
      <c r="M488">
        <f t="shared" si="47"/>
        <v>389045.92427884613</v>
      </c>
      <c r="O488" s="15"/>
      <c r="P488" s="15"/>
    </row>
    <row r="489" spans="1:16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 cm="1">
        <f t="array" ref="E489">_xlfn.XLOOKUP(1, (Лист1!$A489=Лист2!$A$2:$A$505)*(Лист1!$B489=Лист2!$B$2:$B$505),Лист2!$C$2:$C$505)</f>
        <v>54</v>
      </c>
      <c r="F489" s="7" cm="1">
        <f t="array" ref="F489">_xlfn.XLOOKUP(1, (Лист1!$A489=Лист2!$A$2:$A$505)*(Лист1!$B489=Лист2!$B$2:$B$505),Лист2!$D$2:$D$505)</f>
        <v>12012</v>
      </c>
      <c r="G489" s="7" cm="1">
        <f t="array" ref="G489">_xlfn.XLOOKUP(1, (Лист1!$A489=Лист2!$A$2:$A$505)*(Лист1!$B489=Лист2!$B$2:$B$505),Лист2!$E$2:$E$505)</f>
        <v>11308</v>
      </c>
      <c r="H489">
        <f t="shared" si="42"/>
        <v>367687.44444444444</v>
      </c>
      <c r="I489">
        <f t="shared" si="43"/>
        <v>21</v>
      </c>
      <c r="J489">
        <f t="shared" si="44"/>
        <v>54</v>
      </c>
      <c r="K489">
        <f t="shared" si="45"/>
        <v>367687.44444444444</v>
      </c>
      <c r="L489">
        <f t="shared" si="46"/>
        <v>54</v>
      </c>
      <c r="M489">
        <f t="shared" si="47"/>
        <v>367687.44444444444</v>
      </c>
      <c r="O489" s="15"/>
      <c r="P489" s="15"/>
    </row>
    <row r="490" spans="1:16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 cm="1">
        <f t="array" ref="E490">_xlfn.XLOOKUP(1, (Лист1!$A490=Лист2!$A$2:$A$505)*(Лист1!$B490=Лист2!$B$2:$B$505),Лист2!$C$2:$C$505)</f>
        <v>54</v>
      </c>
      <c r="F490" s="7" cm="1">
        <f t="array" ref="F490">_xlfn.XLOOKUP(1, (Лист1!$A490=Лист2!$A$2:$A$505)*(Лист1!$B490=Лист2!$B$2:$B$505),Лист2!$D$2:$D$505)</f>
        <v>11194</v>
      </c>
      <c r="G490" s="7" cm="1">
        <f t="array" ref="G490">_xlfn.XLOOKUP(1, (Лист1!$A490=Лист2!$A$2:$A$505)*(Лист1!$B490=Лист2!$B$2:$B$505),Лист2!$E$2:$E$505)</f>
        <v>10554</v>
      </c>
      <c r="H490">
        <f t="shared" si="42"/>
        <v>345203.66666666669</v>
      </c>
      <c r="I490">
        <f t="shared" si="43"/>
        <v>20</v>
      </c>
      <c r="J490">
        <f t="shared" si="44"/>
        <v>54</v>
      </c>
      <c r="K490">
        <f t="shared" si="45"/>
        <v>345203.66666666669</v>
      </c>
      <c r="L490">
        <f t="shared" si="46"/>
        <v>54</v>
      </c>
      <c r="M490">
        <f t="shared" si="47"/>
        <v>345203.66666666669</v>
      </c>
      <c r="O490" s="15"/>
      <c r="P490" s="15"/>
    </row>
    <row r="491" spans="1:16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 cm="1">
        <f t="array" ref="E491">_xlfn.XLOOKUP(1, (Лист1!$A491=Лист2!$A$2:$A$505)*(Лист1!$B491=Лист2!$B$2:$B$505),Лист2!$C$2:$C$505)</f>
        <v>54</v>
      </c>
      <c r="F491" s="7" cm="1">
        <f t="array" ref="F491">_xlfn.XLOOKUP(1, (Лист1!$A491=Лист2!$A$2:$A$505)*(Лист1!$B491=Лист2!$B$2:$B$505),Лист2!$D$2:$D$505)</f>
        <v>12791</v>
      </c>
      <c r="G491" s="7" cm="1">
        <f t="array" ref="G491">_xlfn.XLOOKUP(1, (Лист1!$A491=Лист2!$A$2:$A$505)*(Лист1!$B491=Лист2!$B$2:$B$505),Лист2!$E$2:$E$505)</f>
        <v>11950</v>
      </c>
      <c r="H491">
        <f t="shared" si="42"/>
        <v>405468.41666666669</v>
      </c>
      <c r="I491">
        <f t="shared" si="43"/>
        <v>20</v>
      </c>
      <c r="J491">
        <f t="shared" si="44"/>
        <v>54</v>
      </c>
      <c r="K491">
        <f t="shared" si="45"/>
        <v>405468.41666666669</v>
      </c>
      <c r="L491">
        <f t="shared" si="46"/>
        <v>54</v>
      </c>
      <c r="M491">
        <f t="shared" si="47"/>
        <v>405468.41666666669</v>
      </c>
      <c r="O491" s="15"/>
      <c r="P491" s="15"/>
    </row>
    <row r="492" spans="1:16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 cm="1">
        <f t="array" ref="E492">_xlfn.XLOOKUP(1, (Лист1!$A492=Лист2!$A$2:$A$505)*(Лист1!$B492=Лист2!$B$2:$B$505),Лист2!$C$2:$C$505)</f>
        <v>54</v>
      </c>
      <c r="F492" s="7" cm="1">
        <f t="array" ref="F492">_xlfn.XLOOKUP(1, (Лист1!$A492=Лист2!$A$2:$A$505)*(Лист1!$B492=Лист2!$B$2:$B$505),Лист2!$D$2:$D$505)</f>
        <v>14031</v>
      </c>
      <c r="G492" s="7" cm="1">
        <f t="array" ref="G492">_xlfn.XLOOKUP(1, (Лист1!$A492=Лист2!$A$2:$A$505)*(Лист1!$B492=Лист2!$B$2:$B$505),Лист2!$E$2:$E$505)</f>
        <v>12943</v>
      </c>
      <c r="H492">
        <f t="shared" si="42"/>
        <v>415113.91666666669</v>
      </c>
      <c r="I492">
        <f t="shared" si="43"/>
        <v>22</v>
      </c>
      <c r="J492">
        <f t="shared" si="44"/>
        <v>54</v>
      </c>
      <c r="K492">
        <f t="shared" si="45"/>
        <v>415113.91666666669</v>
      </c>
      <c r="L492">
        <f t="shared" si="46"/>
        <v>54</v>
      </c>
      <c r="M492">
        <f t="shared" si="47"/>
        <v>415113.91666666669</v>
      </c>
      <c r="O492" s="15"/>
      <c r="P492" s="15"/>
    </row>
    <row r="493" spans="1:16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 cm="1">
        <f t="array" ref="E493">_xlfn.XLOOKUP(1, (Лист1!$A493=Лист2!$A$2:$A$505)*(Лист1!$B493=Лист2!$B$2:$B$505),Лист2!$C$2:$C$505)</f>
        <v>7</v>
      </c>
      <c r="F493" s="7" cm="1">
        <f t="array" ref="F493">_xlfn.XLOOKUP(1, (Лист1!$A493=Лист2!$A$2:$A$505)*(Лист1!$B493=Лист2!$B$2:$B$505),Лист2!$D$2:$D$505)</f>
        <v>409</v>
      </c>
      <c r="G493" s="7" cm="1">
        <f t="array" ref="G493">_xlfn.XLOOKUP(1, (Лист1!$A493=Лист2!$A$2:$A$505)*(Лист1!$B493=Лист2!$B$2:$B$505),Лист2!$E$2:$E$505)</f>
        <v>329</v>
      </c>
      <c r="H493">
        <f t="shared" si="42"/>
        <v>98240.571428571435</v>
      </c>
      <c r="I493">
        <f t="shared" si="43"/>
        <v>22</v>
      </c>
      <c r="J493">
        <f t="shared" si="44"/>
        <v>7</v>
      </c>
      <c r="K493">
        <f t="shared" si="45"/>
        <v>98240.571428571435</v>
      </c>
      <c r="L493">
        <f t="shared" si="46"/>
        <v>7</v>
      </c>
      <c r="M493">
        <f t="shared" si="47"/>
        <v>98240.571428571435</v>
      </c>
      <c r="O493" s="15"/>
      <c r="P493" s="15"/>
    </row>
    <row r="494" spans="1:16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 cm="1">
        <f t="array" ref="E494">_xlfn.XLOOKUP(1, (Лист1!$A494=Лист2!$A$2:$A$505)*(Лист1!$B494=Лист2!$B$2:$B$505),Лист2!$C$2:$C$505)</f>
        <v>18</v>
      </c>
      <c r="F494" s="7" cm="1">
        <f t="array" ref="F494">_xlfn.XLOOKUP(1, (Лист1!$A494=Лист2!$A$2:$A$505)*(Лист1!$B494=Лист2!$B$2:$B$505),Лист2!$D$2:$D$505)</f>
        <v>985</v>
      </c>
      <c r="G494" s="7" cm="1">
        <f t="array" ref="G494">_xlfn.XLOOKUP(1, (Лист1!$A494=Лист2!$A$2:$A$505)*(Лист1!$B494=Лист2!$B$2:$B$505),Лист2!$E$2:$E$505)</f>
        <v>861</v>
      </c>
      <c r="H494">
        <f t="shared" si="42"/>
        <v>77709.5</v>
      </c>
      <c r="I494">
        <f t="shared" si="43"/>
        <v>21</v>
      </c>
      <c r="J494">
        <f t="shared" si="44"/>
        <v>17.428571428571427</v>
      </c>
      <c r="K494">
        <f t="shared" si="45"/>
        <v>80257.352459016402</v>
      </c>
      <c r="L494">
        <f t="shared" si="46"/>
        <v>16.285714285714285</v>
      </c>
      <c r="M494">
        <f t="shared" si="47"/>
        <v>85889.447368421053</v>
      </c>
      <c r="O494" s="15"/>
      <c r="P494" s="15"/>
    </row>
    <row r="495" spans="1:16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 cm="1">
        <f t="array" ref="E495">_xlfn.XLOOKUP(1, (Лист1!$A495=Лист2!$A$2:$A$505)*(Лист1!$B495=Лист2!$B$2:$B$505),Лист2!$C$2:$C$505)</f>
        <v>9</v>
      </c>
      <c r="F495" s="7" cm="1">
        <f t="array" ref="F495">_xlfn.XLOOKUP(1, (Лист1!$A495=Лист2!$A$2:$A$505)*(Лист1!$B495=Лист2!$B$2:$B$505),Лист2!$D$2:$D$505)</f>
        <v>294</v>
      </c>
      <c r="G495" s="7" cm="1">
        <f t="array" ref="G495">_xlfn.XLOOKUP(1, (Лист1!$A495=Лист2!$A$2:$A$505)*(Лист1!$B495=Лист2!$B$2:$B$505),Лист2!$E$2:$E$505)</f>
        <v>224</v>
      </c>
      <c r="H495">
        <f t="shared" si="42"/>
        <v>43223.666666666664</v>
      </c>
      <c r="I495">
        <f t="shared" si="43"/>
        <v>23</v>
      </c>
      <c r="J495">
        <f t="shared" si="44"/>
        <v>9</v>
      </c>
      <c r="K495">
        <f t="shared" si="45"/>
        <v>43223.666666666664</v>
      </c>
      <c r="L495">
        <f t="shared" si="46"/>
        <v>9</v>
      </c>
      <c r="M495">
        <f t="shared" si="47"/>
        <v>43223.666666666664</v>
      </c>
      <c r="O495" s="15"/>
      <c r="P495" s="15"/>
    </row>
    <row r="496" spans="1:16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 cm="1">
        <f t="array" ref="E496">_xlfn.XLOOKUP(1, (Лист1!$A496=Лист2!$A$2:$A$505)*(Лист1!$B496=Лист2!$B$2:$B$505),Лист2!$C$2:$C$505)</f>
        <v>15</v>
      </c>
      <c r="F496" s="7" cm="1">
        <f t="array" ref="F496">_xlfn.XLOOKUP(1, (Лист1!$A496=Лист2!$A$2:$A$505)*(Лист1!$B496=Лист2!$B$2:$B$505),Лист2!$D$2:$D$505)</f>
        <v>654</v>
      </c>
      <c r="G496" s="7" cm="1">
        <f t="array" ref="G496">_xlfn.XLOOKUP(1, (Лист1!$A496=Лист2!$A$2:$A$505)*(Лист1!$B496=Лист2!$B$2:$B$505),Лист2!$E$2:$E$505)</f>
        <v>564</v>
      </c>
      <c r="H496">
        <f t="shared" si="42"/>
        <v>58690.400000000001</v>
      </c>
      <c r="I496">
        <f t="shared" si="43"/>
        <v>20</v>
      </c>
      <c r="J496">
        <f t="shared" si="44"/>
        <v>15.571428571428571</v>
      </c>
      <c r="K496">
        <f t="shared" si="45"/>
        <v>56536.623853211007</v>
      </c>
      <c r="L496">
        <f t="shared" si="46"/>
        <v>16.285714285714285</v>
      </c>
      <c r="M496">
        <f t="shared" si="47"/>
        <v>54056.947368421053</v>
      </c>
      <c r="O496" s="15"/>
      <c r="P496" s="15"/>
    </row>
    <row r="497" spans="1:16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 cm="1">
        <f t="array" ref="E497">_xlfn.XLOOKUP(1, (Лист1!$A497=Лист2!$A$2:$A$505)*(Лист1!$B497=Лист2!$B$2:$B$505),Лист2!$C$2:$C$505)</f>
        <v>16</v>
      </c>
      <c r="F497" s="7" cm="1">
        <f t="array" ref="F497">_xlfn.XLOOKUP(1, (Лист1!$A497=Лист2!$A$2:$A$505)*(Лист1!$B497=Лист2!$B$2:$B$505),Лист2!$D$2:$D$505)</f>
        <v>864</v>
      </c>
      <c r="G497" s="7" cm="1">
        <f t="array" ref="G497">_xlfn.XLOOKUP(1, (Лист1!$A497=Лист2!$A$2:$A$505)*(Лист1!$B497=Лист2!$B$2:$B$505),Лист2!$E$2:$E$505)</f>
        <v>765</v>
      </c>
      <c r="H497">
        <f t="shared" si="42"/>
        <v>76919.4375</v>
      </c>
      <c r="I497">
        <f t="shared" si="43"/>
        <v>21</v>
      </c>
      <c r="J497">
        <f t="shared" si="44"/>
        <v>17.428571428571427</v>
      </c>
      <c r="K497">
        <f t="shared" si="45"/>
        <v>70614.565573770495</v>
      </c>
      <c r="L497">
        <f t="shared" si="46"/>
        <v>16.285714285714285</v>
      </c>
      <c r="M497">
        <f t="shared" si="47"/>
        <v>75569.973684210534</v>
      </c>
      <c r="O497" s="15"/>
      <c r="P497" s="15"/>
    </row>
    <row r="498" spans="1:16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 cm="1">
        <f t="array" ref="E498">_xlfn.XLOOKUP(1, (Лист1!$A498=Лист2!$A$2:$A$505)*(Лист1!$B498=Лист2!$B$2:$B$505),Лист2!$C$2:$C$505)</f>
        <v>16</v>
      </c>
      <c r="F498" s="7" cm="1">
        <f t="array" ref="F498">_xlfn.XLOOKUP(1, (Лист1!$A498=Лист2!$A$2:$A$505)*(Лист1!$B498=Лист2!$B$2:$B$505),Лист2!$D$2:$D$505)</f>
        <v>834</v>
      </c>
      <c r="G498" s="7" cm="1">
        <f t="array" ref="G498">_xlfn.XLOOKUP(1, (Лист1!$A498=Лист2!$A$2:$A$505)*(Лист1!$B498=Лист2!$B$2:$B$505),Лист2!$E$2:$E$505)</f>
        <v>735</v>
      </c>
      <c r="H498">
        <f t="shared" si="42"/>
        <v>70729.78125</v>
      </c>
      <c r="I498">
        <f t="shared" si="43"/>
        <v>20</v>
      </c>
      <c r="J498">
        <f t="shared" si="44"/>
        <v>15.571428571428571</v>
      </c>
      <c r="K498">
        <f t="shared" si="45"/>
        <v>72676.472477064221</v>
      </c>
      <c r="L498">
        <f t="shared" si="46"/>
        <v>16.285714285714285</v>
      </c>
      <c r="M498">
        <f t="shared" si="47"/>
        <v>69488.90789473684</v>
      </c>
      <c r="O498" s="15"/>
      <c r="P498" s="15"/>
    </row>
    <row r="499" spans="1:16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 cm="1">
        <f t="array" ref="E499">_xlfn.XLOOKUP(1, (Лист1!$A499=Лист2!$A$2:$A$505)*(Лист1!$B499=Лист2!$B$2:$B$505),Лист2!$C$2:$C$505)</f>
        <v>16</v>
      </c>
      <c r="F499" s="7" cm="1">
        <f t="array" ref="F499">_xlfn.XLOOKUP(1, (Лист1!$A499=Лист2!$A$2:$A$505)*(Лист1!$B499=Лист2!$B$2:$B$505),Лист2!$D$2:$D$505)</f>
        <v>817</v>
      </c>
      <c r="G499" s="7" cm="1">
        <f t="array" ref="G499">_xlfn.XLOOKUP(1, (Лист1!$A499=Лист2!$A$2:$A$505)*(Лист1!$B499=Лист2!$B$2:$B$505),Лист2!$E$2:$E$505)</f>
        <v>718</v>
      </c>
      <c r="H499">
        <f t="shared" si="42"/>
        <v>68190</v>
      </c>
      <c r="I499">
        <f t="shared" si="43"/>
        <v>20</v>
      </c>
      <c r="J499">
        <f t="shared" si="44"/>
        <v>15.571428571428571</v>
      </c>
      <c r="K499">
        <f t="shared" si="45"/>
        <v>70066.788990825691</v>
      </c>
      <c r="L499">
        <f t="shared" si="46"/>
        <v>16.285714285714285</v>
      </c>
      <c r="M499">
        <f t="shared" si="47"/>
        <v>66993.68421052632</v>
      </c>
      <c r="O499" s="15"/>
      <c r="P499" s="15"/>
    </row>
    <row r="500" spans="1:16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 cm="1">
        <f t="array" ref="E500">_xlfn.XLOOKUP(1, (Лист1!$A500=Лист2!$A$2:$A$505)*(Лист1!$B500=Лист2!$B$2:$B$505),Лист2!$C$2:$C$505)</f>
        <v>18</v>
      </c>
      <c r="F500" s="7" cm="1">
        <f t="array" ref="F500">_xlfn.XLOOKUP(1, (Лист1!$A500=Лист2!$A$2:$A$505)*(Лист1!$B500=Лист2!$B$2:$B$505),Лист2!$D$2:$D$505)</f>
        <v>962</v>
      </c>
      <c r="G500" s="7" cm="1">
        <f t="array" ref="G500">_xlfn.XLOOKUP(1, (Лист1!$A500=Лист2!$A$2:$A$505)*(Лист1!$B500=Лист2!$B$2:$B$505),Лист2!$E$2:$E$505)</f>
        <v>859</v>
      </c>
      <c r="H500">
        <f t="shared" si="42"/>
        <v>75011.083333333328</v>
      </c>
      <c r="I500">
        <f t="shared" si="43"/>
        <v>22</v>
      </c>
      <c r="J500">
        <f t="shared" si="44"/>
        <v>18</v>
      </c>
      <c r="K500">
        <f t="shared" si="45"/>
        <v>75011.083333333328</v>
      </c>
      <c r="L500">
        <f t="shared" si="46"/>
        <v>16.285714285714285</v>
      </c>
      <c r="M500">
        <f t="shared" si="47"/>
        <v>82906.986842105267</v>
      </c>
      <c r="O500" s="15"/>
      <c r="P500" s="15"/>
    </row>
    <row r="501" spans="1:16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 cm="1">
        <f t="array" ref="E501">_xlfn.XLOOKUP(1, (Лист1!$A501=Лист2!$A$2:$A$505)*(Лист1!$B501=Лист2!$B$2:$B$505),Лист2!$C$2:$C$505)</f>
        <v>6</v>
      </c>
      <c r="F501" s="7" cm="1">
        <f t="array" ref="F501">_xlfn.XLOOKUP(1, (Лист1!$A501=Лист2!$A$2:$A$505)*(Лист1!$B501=Лист2!$B$2:$B$505),Лист2!$D$2:$D$505)</f>
        <v>237</v>
      </c>
      <c r="G501" s="7" cm="1">
        <f t="array" ref="G501">_xlfn.XLOOKUP(1, (Лист1!$A501=Лист2!$A$2:$A$505)*(Лист1!$B501=Лист2!$B$2:$B$505),Лист2!$E$2:$E$505)</f>
        <v>175</v>
      </c>
      <c r="H501">
        <f t="shared" si="42"/>
        <v>68482</v>
      </c>
      <c r="I501">
        <f t="shared" si="43"/>
        <v>23</v>
      </c>
      <c r="J501">
        <f t="shared" si="44"/>
        <v>6</v>
      </c>
      <c r="K501">
        <f t="shared" si="45"/>
        <v>68482</v>
      </c>
      <c r="L501">
        <f t="shared" si="46"/>
        <v>6</v>
      </c>
      <c r="M501">
        <f t="shared" si="47"/>
        <v>68482</v>
      </c>
      <c r="O501" s="15"/>
      <c r="P501" s="15"/>
    </row>
    <row r="502" spans="1:16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 cm="1">
        <f t="array" ref="E502">_xlfn.XLOOKUP(1, (Лист1!$A502=Лист2!$A$2:$A$505)*(Лист1!$B502=Лист2!$B$2:$B$505),Лист2!$C$2:$C$505)</f>
        <v>7</v>
      </c>
      <c r="F502" s="7" cm="1">
        <f t="array" ref="F502">_xlfn.XLOOKUP(1, (Лист1!$A502=Лист2!$A$2:$A$505)*(Лист1!$B502=Лист2!$B$2:$B$505),Лист2!$D$2:$D$505)</f>
        <v>491</v>
      </c>
      <c r="G502" s="7" cm="1">
        <f t="array" ref="G502">_xlfn.XLOOKUP(1, (Лист1!$A502=Лист2!$A$2:$A$505)*(Лист1!$B502=Лист2!$B$2:$B$505),Лист2!$E$2:$E$505)</f>
        <v>411</v>
      </c>
      <c r="H502">
        <f t="shared" si="42"/>
        <v>121548.64285714286</v>
      </c>
      <c r="I502">
        <f t="shared" si="43"/>
        <v>22</v>
      </c>
      <c r="J502">
        <f t="shared" si="44"/>
        <v>7</v>
      </c>
      <c r="K502">
        <f t="shared" si="45"/>
        <v>121548.64285714286</v>
      </c>
      <c r="L502">
        <f t="shared" si="46"/>
        <v>7</v>
      </c>
      <c r="M502">
        <f t="shared" si="47"/>
        <v>121548.64285714286</v>
      </c>
      <c r="O502" s="15"/>
      <c r="P502" s="15"/>
    </row>
    <row r="503" spans="1:16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 cm="1">
        <f t="array" ref="E503">_xlfn.XLOOKUP(1, (Лист1!$A503=Лист2!$A$2:$A$505)*(Лист1!$B503=Лист2!$B$2:$B$505),Лист2!$C$2:$C$505)</f>
        <v>7</v>
      </c>
      <c r="F503" s="7" cm="1">
        <f t="array" ref="F503">_xlfn.XLOOKUP(1, (Лист1!$A503=Лист2!$A$2:$A$505)*(Лист1!$B503=Лист2!$B$2:$B$505),Лист2!$D$2:$D$505)</f>
        <v>500</v>
      </c>
      <c r="G503" s="7" cm="1">
        <f t="array" ref="G503">_xlfn.XLOOKUP(1, (Лист1!$A503=Лист2!$A$2:$A$505)*(Лист1!$B503=Лист2!$B$2:$B$505),Лист2!$E$2:$E$505)</f>
        <v>418</v>
      </c>
      <c r="H503">
        <f t="shared" si="42"/>
        <v>114635.35714285714</v>
      </c>
      <c r="I503">
        <f t="shared" si="43"/>
        <v>23</v>
      </c>
      <c r="J503">
        <f t="shared" si="44"/>
        <v>7</v>
      </c>
      <c r="K503">
        <f t="shared" si="45"/>
        <v>114635.35714285714</v>
      </c>
      <c r="L503">
        <f t="shared" si="46"/>
        <v>7</v>
      </c>
      <c r="M503">
        <f t="shared" si="47"/>
        <v>114635.35714285714</v>
      </c>
      <c r="O503" s="15"/>
      <c r="P503" s="15"/>
    </row>
    <row r="504" spans="1:16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 cm="1">
        <f t="array" ref="E504">_xlfn.XLOOKUP(1, (Лист1!$A504=Лист2!$A$2:$A$505)*(Лист1!$B504=Лист2!$B$2:$B$505),Лист2!$C$2:$C$505)</f>
        <v>18</v>
      </c>
      <c r="F504" s="7" cm="1">
        <f t="array" ref="F504">_xlfn.XLOOKUP(1, (Лист1!$A504=Лист2!$A$2:$A$505)*(Лист1!$B504=Лист2!$B$2:$B$505),Лист2!$D$2:$D$505)</f>
        <v>1014</v>
      </c>
      <c r="G504" s="7" cm="1">
        <f t="array" ref="G504">_xlfn.XLOOKUP(1, (Лист1!$A504=Лист2!$A$2:$A$505)*(Лист1!$B504=Лист2!$B$2:$B$505),Лист2!$E$2:$E$505)</f>
        <v>893</v>
      </c>
      <c r="H504">
        <f t="shared" si="42"/>
        <v>79903.083333333328</v>
      </c>
      <c r="I504">
        <f t="shared" si="43"/>
        <v>22</v>
      </c>
      <c r="J504">
        <f t="shared" si="44"/>
        <v>18</v>
      </c>
      <c r="K504">
        <f t="shared" si="45"/>
        <v>79903.083333333328</v>
      </c>
      <c r="L504">
        <f t="shared" si="46"/>
        <v>16.285714285714285</v>
      </c>
      <c r="M504">
        <f t="shared" si="47"/>
        <v>88313.93421052632</v>
      </c>
      <c r="O504" s="15"/>
      <c r="P504" s="15"/>
    </row>
    <row r="505" spans="1:16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 cm="1">
        <f t="array" ref="E505">_xlfn.XLOOKUP(1, (Лист1!$A505=Лист2!$A$2:$A$505)*(Лист1!$B505=Лист2!$B$2:$B$505),Лист2!$C$2:$C$505)</f>
        <v>18</v>
      </c>
      <c r="F505" s="7" cm="1">
        <f t="array" ref="F505">_xlfn.XLOOKUP(1, (Лист1!$A505=Лист2!$A$2:$A$505)*(Лист1!$B505=Лист2!$B$2:$B$505),Лист2!$D$2:$D$505)</f>
        <v>923</v>
      </c>
      <c r="G505" s="7" cm="1">
        <f t="array" ref="G505">_xlfn.XLOOKUP(1, (Лист1!$A505=Лист2!$A$2:$A$505)*(Лист1!$B505=Лист2!$B$2:$B$505),Лист2!$E$2:$E$505)</f>
        <v>824</v>
      </c>
      <c r="H505">
        <f t="shared" si="42"/>
        <v>71845.5</v>
      </c>
      <c r="I505">
        <f t="shared" si="43"/>
        <v>23</v>
      </c>
      <c r="J505">
        <f t="shared" si="44"/>
        <v>18</v>
      </c>
      <c r="K505">
        <f t="shared" si="45"/>
        <v>71845.5</v>
      </c>
      <c r="L505">
        <f t="shared" si="46"/>
        <v>16.285714285714285</v>
      </c>
      <c r="M505">
        <f t="shared" si="47"/>
        <v>79408.18421052632</v>
      </c>
      <c r="O505" s="15"/>
      <c r="P505" s="15"/>
    </row>
    <row r="506" spans="1:16" ht="14.25" customHeight="1" x14ac:dyDescent="0.3"/>
    <row r="507" spans="1:16" ht="14.25" customHeight="1" x14ac:dyDescent="0.3"/>
    <row r="508" spans="1:16" ht="14.25" customHeight="1" x14ac:dyDescent="0.3"/>
    <row r="509" spans="1:16" ht="14.25" customHeight="1" x14ac:dyDescent="0.3"/>
    <row r="510" spans="1:16" ht="14.25" customHeight="1" x14ac:dyDescent="0.3"/>
    <row r="511" spans="1:16" ht="14.25" customHeight="1" x14ac:dyDescent="0.3"/>
    <row r="512" spans="1:16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AD0E-270B-41F2-A7AB-544F4C1D9580}">
  <dimension ref="A3:I58"/>
  <sheetViews>
    <sheetView topLeftCell="A61" zoomScaleNormal="55" workbookViewId="0">
      <selection activeCell="E73" sqref="E73"/>
    </sheetView>
  </sheetViews>
  <sheetFormatPr defaultRowHeight="14.4" x14ac:dyDescent="0.3"/>
  <cols>
    <col min="1" max="1" width="39.5546875" bestFit="1" customWidth="1"/>
    <col min="2" max="2" width="25.21875" bestFit="1" customWidth="1"/>
    <col min="3" max="3" width="35.21875" bestFit="1" customWidth="1"/>
    <col min="4" max="4" width="11.5546875" bestFit="1" customWidth="1"/>
    <col min="5" max="6" width="12.5546875" bestFit="1" customWidth="1"/>
    <col min="7" max="7" width="11.5546875" bestFit="1" customWidth="1"/>
    <col min="8" max="8" width="12.5546875" bestFit="1" customWidth="1"/>
    <col min="9" max="9" width="28.5546875" bestFit="1" customWidth="1"/>
    <col min="10" max="10" width="24.6640625" bestFit="1" customWidth="1"/>
    <col min="11" max="11" width="28.5546875" bestFit="1" customWidth="1"/>
    <col min="12" max="12" width="24.6640625" bestFit="1" customWidth="1"/>
    <col min="13" max="13" width="28.5546875" bestFit="1" customWidth="1"/>
    <col min="14" max="14" width="29.5546875" bestFit="1" customWidth="1"/>
    <col min="15" max="15" width="33.33203125" bestFit="1" customWidth="1"/>
  </cols>
  <sheetData>
    <row r="3" spans="1:9" x14ac:dyDescent="0.3">
      <c r="A3" s="13" t="s">
        <v>40</v>
      </c>
      <c r="B3" s="13" t="s">
        <v>42</v>
      </c>
    </row>
    <row r="4" spans="1:9" x14ac:dyDescent="0.3">
      <c r="A4" s="13" t="s">
        <v>41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 t="s">
        <v>27</v>
      </c>
    </row>
    <row r="5" spans="1:9" x14ac:dyDescent="0.3">
      <c r="A5" s="16" t="s">
        <v>15</v>
      </c>
      <c r="B5" s="15">
        <v>233059077</v>
      </c>
      <c r="C5" s="15">
        <v>272762503.5</v>
      </c>
      <c r="D5" s="15">
        <v>269949999</v>
      </c>
      <c r="E5" s="15">
        <v>275539431.56999999</v>
      </c>
      <c r="F5" s="15">
        <v>292155049.5</v>
      </c>
      <c r="G5" s="15">
        <v>37257840.18135</v>
      </c>
      <c r="H5" s="15">
        <v>1380723900.7513499</v>
      </c>
      <c r="I5" t="s">
        <v>39</v>
      </c>
    </row>
    <row r="6" spans="1:9" x14ac:dyDescent="0.3">
      <c r="A6" s="16" t="s">
        <v>14</v>
      </c>
      <c r="B6" s="15">
        <v>176269533</v>
      </c>
      <c r="C6" s="15">
        <v>208128393.85664999</v>
      </c>
      <c r="D6" s="15">
        <v>199569624.22395</v>
      </c>
      <c r="E6" s="15">
        <v>204608809.47659999</v>
      </c>
      <c r="F6" s="15">
        <v>219265928.75384998</v>
      </c>
      <c r="G6" s="15">
        <v>27770092.5</v>
      </c>
      <c r="H6" s="15">
        <v>1035612381.8110499</v>
      </c>
    </row>
    <row r="7" spans="1:9" x14ac:dyDescent="0.3">
      <c r="A7" s="16" t="s">
        <v>21</v>
      </c>
      <c r="B7" s="15">
        <v>136791225</v>
      </c>
      <c r="C7" s="15">
        <v>159695760</v>
      </c>
      <c r="D7" s="15">
        <v>142825023</v>
      </c>
      <c r="E7" s="15">
        <v>157512358.5</v>
      </c>
      <c r="F7" s="15">
        <v>157857214.5</v>
      </c>
      <c r="G7" s="15">
        <v>19465372.5</v>
      </c>
      <c r="H7" s="15">
        <v>774146953.5</v>
      </c>
    </row>
    <row r="8" spans="1:9" x14ac:dyDescent="0.3">
      <c r="A8" s="14" t="s">
        <v>22</v>
      </c>
      <c r="B8" s="15">
        <v>130713645</v>
      </c>
      <c r="C8" s="15">
        <v>151642039.5</v>
      </c>
      <c r="D8" s="15">
        <v>135813990</v>
      </c>
      <c r="E8" s="15">
        <v>149589546</v>
      </c>
      <c r="F8" s="15">
        <v>151451013</v>
      </c>
      <c r="G8" s="15">
        <v>18914194.5</v>
      </c>
      <c r="H8" s="15">
        <v>738124428</v>
      </c>
    </row>
    <row r="9" spans="1:9" x14ac:dyDescent="0.3">
      <c r="A9" s="14" t="s">
        <v>11</v>
      </c>
      <c r="B9" s="15">
        <v>42828757.5</v>
      </c>
      <c r="C9" s="15">
        <v>46366009.5</v>
      </c>
      <c r="D9" s="15">
        <v>47079841.5</v>
      </c>
      <c r="E9" s="15">
        <v>49575288</v>
      </c>
      <c r="F9" s="15">
        <v>50729185.5</v>
      </c>
      <c r="G9" s="15">
        <v>6829921.5</v>
      </c>
      <c r="H9" s="15">
        <v>243409003.5</v>
      </c>
    </row>
    <row r="10" spans="1:9" x14ac:dyDescent="0.3">
      <c r="A10" s="14" t="s">
        <v>16</v>
      </c>
      <c r="B10" s="15">
        <v>36934095</v>
      </c>
      <c r="C10" s="15">
        <v>43307155.5</v>
      </c>
      <c r="D10" s="15">
        <v>41300679</v>
      </c>
      <c r="E10" s="15">
        <v>44172813</v>
      </c>
      <c r="F10" s="15">
        <v>46485094.5</v>
      </c>
      <c r="G10" s="15">
        <v>5800290</v>
      </c>
      <c r="H10" s="15">
        <v>218000127</v>
      </c>
    </row>
    <row r="11" spans="1:9" x14ac:dyDescent="0.3">
      <c r="A11" s="14" t="s">
        <v>17</v>
      </c>
      <c r="B11" s="15">
        <v>17828215.5</v>
      </c>
      <c r="C11" s="15">
        <v>20974521</v>
      </c>
      <c r="D11" s="15">
        <v>23603355</v>
      </c>
      <c r="E11" s="15">
        <v>26815804.5</v>
      </c>
      <c r="F11" s="15">
        <v>27495690</v>
      </c>
      <c r="G11" s="15">
        <v>3865251</v>
      </c>
      <c r="H11" s="15">
        <v>120582837</v>
      </c>
    </row>
    <row r="12" spans="1:9" x14ac:dyDescent="0.3">
      <c r="A12" s="14" t="s">
        <v>10</v>
      </c>
      <c r="B12" s="15">
        <v>16029679.5</v>
      </c>
      <c r="C12" s="15">
        <v>19479055.5</v>
      </c>
      <c r="D12" s="15">
        <v>19724733</v>
      </c>
      <c r="E12" s="15">
        <v>20915751</v>
      </c>
      <c r="F12" s="15">
        <v>22579281</v>
      </c>
      <c r="G12" s="15">
        <v>2945035.5</v>
      </c>
      <c r="H12" s="15">
        <v>101673535.5</v>
      </c>
    </row>
    <row r="13" spans="1:9" x14ac:dyDescent="0.3">
      <c r="A13" s="14" t="s">
        <v>13</v>
      </c>
      <c r="B13" s="15">
        <v>13145965.5</v>
      </c>
      <c r="C13" s="15">
        <v>17149980</v>
      </c>
      <c r="D13" s="15">
        <v>19963153.5</v>
      </c>
      <c r="E13" s="15">
        <v>20713983</v>
      </c>
      <c r="F13" s="15">
        <v>21605704.5</v>
      </c>
      <c r="G13" s="15">
        <v>3013512</v>
      </c>
      <c r="H13" s="15">
        <v>95592298.5</v>
      </c>
    </row>
    <row r="14" spans="1:9" x14ac:dyDescent="0.3">
      <c r="A14" s="14" t="s">
        <v>20</v>
      </c>
      <c r="B14" s="15">
        <v>13955985</v>
      </c>
      <c r="C14" s="15">
        <v>16391856</v>
      </c>
      <c r="D14" s="15">
        <v>16732521</v>
      </c>
      <c r="E14" s="15">
        <v>17647479</v>
      </c>
      <c r="F14" s="15">
        <v>18595773</v>
      </c>
      <c r="G14" s="15">
        <v>2538967.5</v>
      </c>
      <c r="H14" s="15">
        <v>85862581.5</v>
      </c>
    </row>
    <row r="15" spans="1:9" x14ac:dyDescent="0.3">
      <c r="A15" s="14" t="s">
        <v>18</v>
      </c>
      <c r="B15" s="15">
        <v>6961020</v>
      </c>
      <c r="C15" s="15">
        <v>8778597</v>
      </c>
      <c r="D15" s="15">
        <v>9036316.5</v>
      </c>
      <c r="E15" s="15">
        <v>10598445</v>
      </c>
      <c r="F15" s="15">
        <v>11902053</v>
      </c>
      <c r="G15" s="15">
        <v>1526608.5</v>
      </c>
      <c r="H15" s="15">
        <v>48803040</v>
      </c>
    </row>
    <row r="16" spans="1:9" x14ac:dyDescent="0.3">
      <c r="A16" s="14" t="s">
        <v>23</v>
      </c>
      <c r="B16" s="15">
        <v>5746024.5</v>
      </c>
      <c r="C16" s="15">
        <v>7253572.5</v>
      </c>
      <c r="D16" s="15">
        <v>7841920.5</v>
      </c>
      <c r="E16" s="15">
        <v>8990269.5</v>
      </c>
      <c r="F16" s="15">
        <v>9909624</v>
      </c>
      <c r="G16" s="15">
        <v>1293219</v>
      </c>
      <c r="H16" s="15">
        <v>41034630</v>
      </c>
    </row>
    <row r="17" spans="1:8" x14ac:dyDescent="0.3">
      <c r="A17" s="14" t="s">
        <v>19</v>
      </c>
      <c r="B17" s="15">
        <v>2008809</v>
      </c>
      <c r="C17" s="15">
        <v>5892277.5</v>
      </c>
      <c r="D17" s="15">
        <v>7382458.5</v>
      </c>
      <c r="E17" s="15">
        <v>8638525.5</v>
      </c>
      <c r="F17" s="15">
        <v>9328845</v>
      </c>
      <c r="G17" s="15">
        <v>1565632.5</v>
      </c>
      <c r="H17" s="15">
        <v>34816548</v>
      </c>
    </row>
    <row r="18" spans="1:8" x14ac:dyDescent="0.3">
      <c r="A18" s="14" t="s">
        <v>12</v>
      </c>
      <c r="B18" s="15">
        <v>4531000.5</v>
      </c>
      <c r="C18" s="15">
        <v>6093688.5</v>
      </c>
      <c r="D18" s="15">
        <v>6439392</v>
      </c>
      <c r="E18" s="15">
        <v>7373379</v>
      </c>
      <c r="F18" s="15">
        <v>7762362</v>
      </c>
      <c r="G18" s="15">
        <v>1007742</v>
      </c>
      <c r="H18" s="15">
        <v>33207564</v>
      </c>
    </row>
    <row r="19" spans="1:8" x14ac:dyDescent="0.3">
      <c r="A19" s="14" t="s">
        <v>24</v>
      </c>
      <c r="B19" s="15"/>
      <c r="C19" s="15"/>
      <c r="D19" s="15"/>
      <c r="E19" s="15"/>
      <c r="F19" s="15">
        <v>4861708.5</v>
      </c>
      <c r="G19" s="15">
        <v>802447.5</v>
      </c>
      <c r="H19" s="15">
        <v>5664156</v>
      </c>
    </row>
    <row r="20" spans="1:8" x14ac:dyDescent="0.3">
      <c r="A20" s="14" t="s">
        <v>9</v>
      </c>
      <c r="B20" s="15"/>
      <c r="C20" s="15"/>
      <c r="D20" s="15"/>
      <c r="E20" s="15"/>
      <c r="F20" s="15">
        <v>2706253.5</v>
      </c>
      <c r="G20" s="15">
        <v>636345</v>
      </c>
      <c r="H20" s="15">
        <v>3342598.5</v>
      </c>
    </row>
    <row r="21" spans="1:8" x14ac:dyDescent="0.3">
      <c r="A21" s="14" t="s">
        <v>25</v>
      </c>
      <c r="B21" s="15"/>
      <c r="C21" s="15"/>
      <c r="D21" s="15"/>
      <c r="E21" s="15"/>
      <c r="F21" s="15">
        <v>493893</v>
      </c>
      <c r="G21" s="15">
        <v>389013</v>
      </c>
      <c r="H21" s="15">
        <v>882906</v>
      </c>
    </row>
    <row r="22" spans="1:8" x14ac:dyDescent="0.3">
      <c r="A22" s="14" t="s">
        <v>26</v>
      </c>
      <c r="B22" s="15"/>
      <c r="C22" s="15"/>
      <c r="D22" s="15"/>
      <c r="E22" s="15"/>
      <c r="F22" s="15">
        <v>468835.5</v>
      </c>
      <c r="G22" s="15">
        <v>410892</v>
      </c>
      <c r="H22" s="15">
        <v>879727.5</v>
      </c>
    </row>
    <row r="23" spans="1:8" x14ac:dyDescent="0.3">
      <c r="A23" s="14" t="s">
        <v>27</v>
      </c>
      <c r="B23" s="15">
        <v>836803032</v>
      </c>
      <c r="C23" s="15">
        <v>983915409.85664999</v>
      </c>
      <c r="D23" s="15">
        <v>947263006.72395003</v>
      </c>
      <c r="E23" s="15">
        <v>1002691883.0465999</v>
      </c>
      <c r="F23" s="15">
        <v>1055653508.75385</v>
      </c>
      <c r="G23" s="15">
        <v>136032376.68134999</v>
      </c>
      <c r="H23" s="15">
        <v>4962359217.0623999</v>
      </c>
    </row>
    <row r="27" spans="1:8" x14ac:dyDescent="0.3">
      <c r="A27" s="13" t="s">
        <v>43</v>
      </c>
      <c r="B27" s="13" t="s">
        <v>42</v>
      </c>
    </row>
    <row r="28" spans="1:8" x14ac:dyDescent="0.3">
      <c r="A28" s="13" t="s">
        <v>41</v>
      </c>
      <c r="B28">
        <v>18</v>
      </c>
      <c r="C28">
        <v>19</v>
      </c>
      <c r="D28">
        <v>20</v>
      </c>
      <c r="E28">
        <v>21</v>
      </c>
      <c r="F28">
        <v>22</v>
      </c>
      <c r="G28">
        <v>23</v>
      </c>
    </row>
    <row r="29" spans="1:8" x14ac:dyDescent="0.3">
      <c r="A29" s="16" t="s">
        <v>22</v>
      </c>
      <c r="B29" s="15">
        <v>2420623.0555555555</v>
      </c>
      <c r="C29" s="15">
        <v>2808185.916666667</v>
      </c>
      <c r="D29" s="15">
        <v>2515073.8888888885</v>
      </c>
      <c r="E29" s="15">
        <v>2770176.7777777775</v>
      </c>
      <c r="F29" s="15">
        <v>2804648.3888888885</v>
      </c>
      <c r="G29" s="15">
        <v>350262.86111111112</v>
      </c>
      <c r="H29" s="19" t="s">
        <v>28</v>
      </c>
    </row>
    <row r="30" spans="1:8" x14ac:dyDescent="0.3">
      <c r="A30" s="16" t="s">
        <v>21</v>
      </c>
      <c r="B30" s="15">
        <v>2318495.338983051</v>
      </c>
      <c r="C30" s="15">
        <v>2706707.7966101696</v>
      </c>
      <c r="D30" s="15">
        <v>2380417.0499999998</v>
      </c>
      <c r="E30" s="15">
        <v>2625205.9749999996</v>
      </c>
      <c r="F30" s="15">
        <v>2669083.3369565215</v>
      </c>
      <c r="G30" s="15">
        <v>329921.56779661018</v>
      </c>
    </row>
    <row r="31" spans="1:8" x14ac:dyDescent="0.3">
      <c r="A31" s="16" t="s">
        <v>15</v>
      </c>
      <c r="B31" s="15">
        <v>1864472.6159999999</v>
      </c>
      <c r="C31" s="15">
        <v>2182100.0279999999</v>
      </c>
      <c r="D31" s="15">
        <v>2159599.9919999996</v>
      </c>
      <c r="E31" s="15">
        <v>2204315.4525600001</v>
      </c>
      <c r="F31" s="15">
        <v>2356089.1088709678</v>
      </c>
      <c r="G31" s="15">
        <v>302909.26976707316</v>
      </c>
    </row>
    <row r="32" spans="1:8" x14ac:dyDescent="0.3">
      <c r="A32" s="14" t="s">
        <v>11</v>
      </c>
      <c r="B32" s="15">
        <v>1381572.8225806451</v>
      </c>
      <c r="C32" s="15">
        <v>1495677.7258064516</v>
      </c>
      <c r="D32" s="15">
        <v>1518704.564516129</v>
      </c>
      <c r="E32" s="15">
        <v>1599202.8387096773</v>
      </c>
      <c r="F32" s="15">
        <v>1636425.3387096773</v>
      </c>
      <c r="G32" s="15">
        <v>220320.04838709679</v>
      </c>
    </row>
    <row r="33" spans="1:7" x14ac:dyDescent="0.3">
      <c r="A33" s="14" t="s">
        <v>14</v>
      </c>
      <c r="B33" s="15">
        <v>1369970.4637305702</v>
      </c>
      <c r="C33" s="15">
        <v>1613398.4019895347</v>
      </c>
      <c r="D33" s="15">
        <v>1547051.3505732557</v>
      </c>
      <c r="E33" s="15">
        <v>1586114.8021441861</v>
      </c>
      <c r="F33" s="15">
        <v>1699735.8818127906</v>
      </c>
      <c r="G33" s="15">
        <v>216953.84765625</v>
      </c>
    </row>
    <row r="34" spans="1:7" x14ac:dyDescent="0.3">
      <c r="A34" s="14" t="s">
        <v>17</v>
      </c>
      <c r="B34" s="15">
        <v>906519.4322033897</v>
      </c>
      <c r="C34" s="15">
        <v>1019594.7708333331</v>
      </c>
      <c r="D34" s="15">
        <v>1123969.2857142857</v>
      </c>
      <c r="E34" s="15">
        <v>1276943.0714285714</v>
      </c>
      <c r="F34" s="15">
        <v>1266248.8815789474</v>
      </c>
      <c r="G34" s="15">
        <v>168054.39130434784</v>
      </c>
    </row>
    <row r="35" spans="1:7" x14ac:dyDescent="0.3">
      <c r="A35" s="14" t="s">
        <v>16</v>
      </c>
      <c r="B35" s="15">
        <v>1025947.0833333334</v>
      </c>
      <c r="C35" s="15">
        <v>1202976.5416666667</v>
      </c>
      <c r="D35" s="15">
        <v>1147241.0833333333</v>
      </c>
      <c r="E35" s="15">
        <v>1227022.5833333335</v>
      </c>
      <c r="F35" s="15">
        <v>1271076.802734375</v>
      </c>
      <c r="G35" s="15">
        <v>156764.59459459459</v>
      </c>
    </row>
    <row r="36" spans="1:7" x14ac:dyDescent="0.3">
      <c r="A36" s="14" t="s">
        <v>13</v>
      </c>
      <c r="B36" s="15">
        <v>710592.7297297297</v>
      </c>
      <c r="C36" s="15">
        <v>902630.52631578944</v>
      </c>
      <c r="D36" s="15">
        <v>1050692.2894736843</v>
      </c>
      <c r="E36" s="15">
        <v>1066160.8897058824</v>
      </c>
      <c r="F36" s="15">
        <v>1080285.2250000001</v>
      </c>
      <c r="G36" s="15">
        <v>150675.6</v>
      </c>
    </row>
    <row r="37" spans="1:7" x14ac:dyDescent="0.3">
      <c r="A37" s="14" t="s">
        <v>10</v>
      </c>
      <c r="B37" s="15">
        <v>866469.16216216213</v>
      </c>
      <c r="C37" s="15">
        <v>946898.53124999988</v>
      </c>
      <c r="D37" s="15">
        <v>939273.00000000012</v>
      </c>
      <c r="E37" s="15">
        <v>1002809.9794520547</v>
      </c>
      <c r="F37" s="15">
        <v>1120957.2127659575</v>
      </c>
      <c r="G37" s="15">
        <v>140239.78571428571</v>
      </c>
    </row>
    <row r="38" spans="1:7" x14ac:dyDescent="0.3">
      <c r="A38" s="14" t="s">
        <v>20</v>
      </c>
      <c r="B38" s="15">
        <v>747642.05357142852</v>
      </c>
      <c r="C38" s="15">
        <v>862729.26315789472</v>
      </c>
      <c r="D38" s="15">
        <v>880659</v>
      </c>
      <c r="E38" s="15">
        <v>928814.68421052617</v>
      </c>
      <c r="F38" s="15">
        <v>923194.40425531915</v>
      </c>
      <c r="G38" s="15">
        <v>120903.21428571429</v>
      </c>
    </row>
    <row r="39" spans="1:7" x14ac:dyDescent="0.3">
      <c r="A39" s="14" t="s">
        <v>24</v>
      </c>
      <c r="B39" s="15"/>
      <c r="C39" s="15"/>
      <c r="D39" s="15"/>
      <c r="E39" s="15"/>
      <c r="F39" s="15">
        <v>694529.78571428568</v>
      </c>
      <c r="G39" s="15">
        <v>114635.35714285714</v>
      </c>
    </row>
    <row r="40" spans="1:7" x14ac:dyDescent="0.3">
      <c r="A40" s="14" t="s">
        <v>12</v>
      </c>
      <c r="B40" s="15">
        <v>453100.04999999993</v>
      </c>
      <c r="C40" s="15">
        <v>609368.85</v>
      </c>
      <c r="D40" s="15">
        <v>643939.19999999995</v>
      </c>
      <c r="E40" s="15">
        <v>737337.90000000014</v>
      </c>
      <c r="F40" s="15">
        <v>776236.2</v>
      </c>
      <c r="G40" s="15">
        <v>100774.2</v>
      </c>
    </row>
    <row r="41" spans="1:7" x14ac:dyDescent="0.3">
      <c r="A41" s="14" t="s">
        <v>19</v>
      </c>
      <c r="B41" s="15">
        <v>133920.6</v>
      </c>
      <c r="C41" s="15">
        <v>392818.49999999994</v>
      </c>
      <c r="D41" s="15">
        <v>492163.9</v>
      </c>
      <c r="E41" s="15">
        <v>575901.69999999995</v>
      </c>
      <c r="F41" s="15">
        <v>599100.13761467882</v>
      </c>
      <c r="G41" s="15">
        <v>97852.03125</v>
      </c>
    </row>
    <row r="42" spans="1:7" x14ac:dyDescent="0.3">
      <c r="A42" s="14" t="s">
        <v>18</v>
      </c>
      <c r="B42" s="15">
        <v>464068</v>
      </c>
      <c r="C42" s="15">
        <v>585239.80000000005</v>
      </c>
      <c r="D42" s="15">
        <v>602421.1</v>
      </c>
      <c r="E42" s="15">
        <v>639561.33620689658</v>
      </c>
      <c r="F42" s="15">
        <v>700120.76470588229</v>
      </c>
      <c r="G42" s="15">
        <v>89800.5</v>
      </c>
    </row>
    <row r="43" spans="1:7" x14ac:dyDescent="0.3">
      <c r="A43" s="14" t="s">
        <v>23</v>
      </c>
      <c r="B43" s="15">
        <v>383068.30000000005</v>
      </c>
      <c r="C43" s="15">
        <v>483571.5</v>
      </c>
      <c r="D43" s="15">
        <v>503609.57339449547</v>
      </c>
      <c r="E43" s="15">
        <v>515835.13524590171</v>
      </c>
      <c r="F43" s="15">
        <v>550534.66666666663</v>
      </c>
      <c r="G43" s="15">
        <v>71845.5</v>
      </c>
    </row>
    <row r="44" spans="1:7" x14ac:dyDescent="0.3">
      <c r="A44" s="14" t="s">
        <v>26</v>
      </c>
      <c r="B44" s="15"/>
      <c r="C44" s="15"/>
      <c r="D44" s="15"/>
      <c r="E44" s="15"/>
      <c r="F44" s="15">
        <v>78139.25</v>
      </c>
      <c r="G44" s="15">
        <v>68482</v>
      </c>
    </row>
    <row r="45" spans="1:7" x14ac:dyDescent="0.3">
      <c r="A45" s="14" t="s">
        <v>25</v>
      </c>
      <c r="B45" s="15"/>
      <c r="C45" s="15"/>
      <c r="D45" s="15"/>
      <c r="E45" s="15"/>
      <c r="F45" s="15">
        <v>54877</v>
      </c>
      <c r="G45" s="15">
        <v>43223.666666666664</v>
      </c>
    </row>
    <row r="46" spans="1:7" x14ac:dyDescent="0.3">
      <c r="A46" s="14" t="s">
        <v>9</v>
      </c>
      <c r="B46" s="15"/>
      <c r="C46" s="15"/>
      <c r="D46" s="15"/>
      <c r="E46" s="15"/>
      <c r="F46" s="15">
        <v>180416.90000000002</v>
      </c>
      <c r="G46" s="15">
        <v>42423</v>
      </c>
    </row>
    <row r="51" spans="1:3" x14ac:dyDescent="0.3">
      <c r="A51" s="13" t="s">
        <v>42</v>
      </c>
      <c r="B51" t="s">
        <v>44</v>
      </c>
      <c r="C51" t="s">
        <v>45</v>
      </c>
    </row>
    <row r="52" spans="1:3" x14ac:dyDescent="0.3">
      <c r="A52" s="14">
        <v>18</v>
      </c>
      <c r="B52" s="15">
        <v>836803032</v>
      </c>
      <c r="C52" s="15">
        <v>14794660.920088444</v>
      </c>
    </row>
    <row r="53" spans="1:3" x14ac:dyDescent="0.3">
      <c r="A53" s="14">
        <v>19</v>
      </c>
      <c r="B53" s="15">
        <v>983915409.85664999</v>
      </c>
      <c r="C53" s="15">
        <v>17699472.817198884</v>
      </c>
    </row>
    <row r="54" spans="1:3" x14ac:dyDescent="0.3">
      <c r="A54" s="14">
        <v>20</v>
      </c>
      <c r="B54" s="15">
        <v>947263006.72395003</v>
      </c>
      <c r="C54" s="15">
        <v>17488438.904467873</v>
      </c>
    </row>
    <row r="55" spans="1:3" x14ac:dyDescent="0.3">
      <c r="A55" s="14">
        <v>21</v>
      </c>
      <c r="B55" s="15">
        <v>1002691883.0466</v>
      </c>
      <c r="C55" s="15">
        <v>18879559.590979502</v>
      </c>
    </row>
    <row r="56" spans="1:3" x14ac:dyDescent="0.3">
      <c r="A56" s="14">
        <v>22</v>
      </c>
      <c r="B56" s="15">
        <v>1055653508.75385</v>
      </c>
      <c r="C56" s="15">
        <v>20709707.932458054</v>
      </c>
    </row>
    <row r="57" spans="1:3" x14ac:dyDescent="0.3">
      <c r="A57" s="14">
        <v>23</v>
      </c>
      <c r="B57" s="15">
        <v>136032376.68134999</v>
      </c>
      <c r="C57" s="15">
        <v>2840780.3389954981</v>
      </c>
    </row>
    <row r="58" spans="1:3" x14ac:dyDescent="0.3">
      <c r="A58" s="14" t="s">
        <v>27</v>
      </c>
      <c r="B58" s="15">
        <v>4962359217.0623999</v>
      </c>
      <c r="C58" s="15">
        <v>92412620.504188269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Сводные таблицы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Yessenkhan Dildabek</cp:lastModifiedBy>
  <dcterms:created xsi:type="dcterms:W3CDTF">2021-09-13T10:17:58Z</dcterms:created>
  <dcterms:modified xsi:type="dcterms:W3CDTF">2025-09-03T04:52:35Z</dcterms:modified>
</cp:coreProperties>
</file>